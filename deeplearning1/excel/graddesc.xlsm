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606" codeName="{0EBEE25D-5E30-3CCF-7B8A-937B5088EA05}"/>
  <workbookPr codeName="ThisWorkbook"/>
  <mc:AlternateContent xmlns:mc="http://schemas.openxmlformats.org/markup-compatibility/2006">
    <mc:Choice Requires="x15">
      <x15ac:absPath xmlns:x15ac="http://schemas.microsoft.com/office/spreadsheetml/2010/11/ac" url="/Users/yingchipei/Documents/github/fastai-notes/deeplearning1/excel/"/>
    </mc:Choice>
  </mc:AlternateContent>
  <bookViews>
    <workbookView xWindow="3260" yWindow="1100" windowWidth="25540" windowHeight="15980" activeTab="8"/>
  </bookViews>
  <sheets>
    <sheet name="Intro" sheetId="20" r:id="rId1"/>
    <sheet name="data" sheetId="1" r:id="rId2"/>
    <sheet name="basic SGD" sheetId="3" r:id="rId3"/>
    <sheet name="momentum" sheetId="18" r:id="rId4"/>
    <sheet name="adagrad" sheetId="2" r:id="rId5"/>
    <sheet name="rmsprop" sheetId="13" r:id="rId6"/>
    <sheet name="adam" sheetId="15" r:id="rId7"/>
    <sheet name="eve" sheetId="16" r:id="rId8"/>
    <sheet name="adagrad_ann" sheetId="6" r:id="rId9"/>
    <sheet name="adam_ann" sheetId="19" r:id="rId10"/>
  </sheets>
  <definedNames>
    <definedName name="avg_grad2" localSheetId="9">adam_ann!$N$33</definedName>
    <definedName name="const" localSheetId="4">adagrad!$C$1</definedName>
    <definedName name="const" localSheetId="8">adagrad_ann!$C$1</definedName>
    <definedName name="const" localSheetId="6">adam!$C$1</definedName>
    <definedName name="const" localSheetId="9">adam_ann!$C$1</definedName>
    <definedName name="const" localSheetId="2">'basic SGD'!$C$1</definedName>
    <definedName name="const" localSheetId="7">eve!$C$1</definedName>
    <definedName name="const" localSheetId="3">momentum!$C$1</definedName>
    <definedName name="const" localSheetId="5">rmsprop!$C$1</definedName>
    <definedName name="dt_1" localSheetId="7">eve!$F$37</definedName>
    <definedName name="dtee" localSheetId="7">eve!$F$38</definedName>
    <definedName name="ft_1" localSheetId="7">eve!$F$34</definedName>
    <definedName name="ft_2" localSheetId="7">eve!$F$35</definedName>
    <definedName name="gradrat" localSheetId="9">adam_ann!$N$34</definedName>
    <definedName name="gradtarget" localSheetId="4">adagrad!$F$1:$G$1</definedName>
    <definedName name="gradtarget" localSheetId="8">adagrad_ann!$F$1:$G$1</definedName>
    <definedName name="gradtarget" localSheetId="6">adam!$L$33:$M$33</definedName>
    <definedName name="gradtarget" localSheetId="9">adam_ann!$L$33:$M$33</definedName>
    <definedName name="gradtarget" localSheetId="2">'basic SGD'!$K$1:$L$1</definedName>
    <definedName name="gradtarget" localSheetId="7">eve!$M$33:$N$33</definedName>
    <definedName name="gradtarget" localSheetId="3">momentum!#REF!</definedName>
    <definedName name="gradtarget" localSheetId="5">rmsprop!$J$33:$K$33</definedName>
    <definedName name="histgrad" localSheetId="4">adagrad!$F$33:$G$33</definedName>
    <definedName name="histgrad" localSheetId="8">adagrad_ann!$F$33:$G$33</definedName>
    <definedName name="histgrad" localSheetId="6">adam!$F$33:$G$33</definedName>
    <definedName name="histgrad" localSheetId="9">adam_ann!$F$33:$G$33</definedName>
    <definedName name="histgrad" localSheetId="2">'basic SGD'!$K$33:$L$33</definedName>
    <definedName name="histgrad" localSheetId="7">eve!$G$33:$H$33</definedName>
    <definedName name="histgrad" localSheetId="3">momentum!$F$33:$G$33</definedName>
    <definedName name="histgrad" localSheetId="5">rmsprop!$F$33:$G$33</definedName>
    <definedName name="lastconst" localSheetId="4">adagrad!$H$32</definedName>
    <definedName name="lastconst" localSheetId="8">adagrad_ann!$C$32</definedName>
    <definedName name="lastconst" localSheetId="6">adam!$C$32</definedName>
    <definedName name="lastconst" localSheetId="9">adam_ann!$C$32</definedName>
    <definedName name="lastconst" localSheetId="2">'basic SGD'!$C$32</definedName>
    <definedName name="lastconst" localSheetId="7">eve!$C$32</definedName>
    <definedName name="lastconst" localSheetId="3">momentum!$C$32</definedName>
    <definedName name="lastconst" localSheetId="5">rmsprop!$C$32</definedName>
    <definedName name="lastslope" localSheetId="4">adagrad!$I$32</definedName>
    <definedName name="lastslope" localSheetId="8">adagrad_ann!$D$32</definedName>
    <definedName name="lastslope" localSheetId="6">adam!$D$32</definedName>
    <definedName name="lastslope" localSheetId="9">adam_ann!$D$32</definedName>
    <definedName name="lastslope" localSheetId="2">'basic SGD'!$D$32</definedName>
    <definedName name="lastslope" localSheetId="7">eve!$D$32</definedName>
    <definedName name="lastslope" localSheetId="3">momentum!$D$32</definedName>
    <definedName name="lastslope" localSheetId="5">rmsprop!$D$32</definedName>
    <definedName name="loss" localSheetId="7">eve!$F$33</definedName>
    <definedName name="lr" localSheetId="6">adam!$D$2</definedName>
    <definedName name="lr" localSheetId="9">adam_ann!$D$2</definedName>
    <definedName name="lr" localSheetId="7">eve!$D$2</definedName>
    <definedName name="lr" localSheetId="3">momentum!$D$2</definedName>
    <definedName name="max_clipped" localSheetId="6">adam!$O$34</definedName>
    <definedName name="max_clipped" localSheetId="9">adam_ann!$O$34</definedName>
    <definedName name="max_clipped" localSheetId="7">eve!$P$34</definedName>
    <definedName name="max_clipped" localSheetId="3">momentum!$M$34</definedName>
    <definedName name="max_clipped" localSheetId="5">rmsprop!$K$34</definedName>
    <definedName name="momlast" localSheetId="6">adam!$J$32:$K$32</definedName>
    <definedName name="momlast" localSheetId="9">adam_ann!$J$32:$K$32</definedName>
    <definedName name="momlast" localSheetId="7">eve!$K$32:$L$32</definedName>
    <definedName name="momlast" localSheetId="3">momentum!$J$32:$K$32</definedName>
    <definedName name="momtarget" localSheetId="6">adam!$J$33:$K$33</definedName>
    <definedName name="momtarget" localSheetId="9">adam_ann!$J$33:$K$33</definedName>
    <definedName name="momtarget" localSheetId="7">eve!$K$33:$L$33</definedName>
    <definedName name="momtarget" localSheetId="3">momentum!$J$33:$K$33</definedName>
    <definedName name="ms_last" localSheetId="6">adam!$L$32:$M$32</definedName>
    <definedName name="ms_last" localSheetId="9">adam_ann!$L$32:$M$32</definedName>
    <definedName name="ms_last" localSheetId="7">eve!$M$32:$N$32</definedName>
    <definedName name="ms_last" localSheetId="3">momentum!#REF!</definedName>
    <definedName name="ms_last" localSheetId="5">rmsprop!$J$32:$K$32</definedName>
    <definedName name="pct_clipped" localSheetId="6">adam!$O$33</definedName>
    <definedName name="pct_clipped" localSheetId="9">adam_ann!$O$33</definedName>
    <definedName name="pct_clipped" localSheetId="7">eve!$P$33</definedName>
    <definedName name="pct_clipped" localSheetId="3">momentum!$M$33</definedName>
    <definedName name="pct_clipped" localSheetId="5">rmsprop!#REF!</definedName>
    <definedName name="prev_grad2" localSheetId="9">adam_ann!$N$3</definedName>
    <definedName name="rmse" localSheetId="2">'basic SGD'!$F$33</definedName>
    <definedName name="rmses" localSheetId="2">'basic SGD'!$C$38:$C$106</definedName>
    <definedName name="rmsestart" localSheetId="2">'basic SGD'!$C$36</definedName>
    <definedName name="rtee" localSheetId="7">eve!$F$36</definedName>
    <definedName name="slope" localSheetId="4">adagrad!$C$2</definedName>
    <definedName name="slope" localSheetId="8">adagrad_ann!$C$2</definedName>
    <definedName name="slope" localSheetId="6">adam!$C$2</definedName>
    <definedName name="slope" localSheetId="9">adam_ann!$C$2</definedName>
    <definedName name="slope" localSheetId="2">'basic SGD'!$C$2</definedName>
    <definedName name="slope" localSheetId="7">eve!$C$2</definedName>
    <definedName name="slope" localSheetId="3">momentum!$C$2</definedName>
    <definedName name="slope" localSheetId="5">rmsprop!$C$2</definedName>
  </definedName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C4" i="15" l="1"/>
  <c r="J3" i="15"/>
  <c r="D4" i="15"/>
  <c r="F4" i="15"/>
  <c r="J4" i="15"/>
  <c r="L3" i="15"/>
  <c r="L4" i="15"/>
  <c r="H4" i="15"/>
  <c r="K3" i="15"/>
  <c r="G4" i="15"/>
  <c r="K4" i="15"/>
  <c r="J3" i="13"/>
  <c r="J4" i="13"/>
  <c r="D4" i="13"/>
  <c r="C4" i="13"/>
  <c r="F4" i="13"/>
  <c r="F2" i="2"/>
  <c r="C4" i="2"/>
  <c r="D4" i="2"/>
  <c r="F4" i="2"/>
  <c r="H4" i="2"/>
  <c r="J3" i="18"/>
  <c r="D4" i="18"/>
  <c r="C4" i="18"/>
  <c r="F4" i="18"/>
  <c r="J4" i="18"/>
  <c r="K3" i="18"/>
  <c r="G4" i="18"/>
  <c r="K4" i="18"/>
  <c r="I4" i="18"/>
  <c r="D5" i="18"/>
  <c r="H4" i="18"/>
  <c r="C5" i="18"/>
  <c r="F5" i="18"/>
  <c r="J5" i="18"/>
  <c r="J5" i="19"/>
  <c r="H5" i="19"/>
  <c r="G4" i="2"/>
  <c r="G2" i="2"/>
  <c r="I4" i="2"/>
  <c r="D5" i="2"/>
  <c r="C5" i="2"/>
  <c r="F5" i="2"/>
  <c r="G5" i="2"/>
  <c r="I5" i="2"/>
  <c r="D6" i="2"/>
  <c r="H5" i="2"/>
  <c r="C6" i="2"/>
  <c r="F6" i="2"/>
  <c r="G6" i="2"/>
  <c r="I6" i="2"/>
  <c r="D7" i="2"/>
  <c r="H6" i="2"/>
  <c r="C7" i="2"/>
  <c r="F7" i="2"/>
  <c r="G7" i="2"/>
  <c r="I7" i="2"/>
  <c r="D8" i="2"/>
  <c r="H7" i="2"/>
  <c r="C8" i="2"/>
  <c r="F8" i="2"/>
  <c r="G8" i="2"/>
  <c r="I8" i="2"/>
  <c r="D9" i="2"/>
  <c r="H8" i="2"/>
  <c r="C9" i="2"/>
  <c r="F9" i="2"/>
  <c r="G9" i="2"/>
  <c r="I9" i="2"/>
  <c r="D10" i="2"/>
  <c r="H9" i="2"/>
  <c r="C10" i="2"/>
  <c r="F10" i="2"/>
  <c r="G10" i="2"/>
  <c r="I10" i="2"/>
  <c r="D11" i="2"/>
  <c r="H10" i="2"/>
  <c r="C11" i="2"/>
  <c r="F11" i="2"/>
  <c r="G11" i="2"/>
  <c r="I11" i="2"/>
  <c r="D12" i="2"/>
  <c r="H11" i="2"/>
  <c r="C12" i="2"/>
  <c r="F12" i="2"/>
  <c r="G12" i="2"/>
  <c r="I12" i="2"/>
  <c r="D13" i="2"/>
  <c r="H12" i="2"/>
  <c r="C13" i="2"/>
  <c r="F13" i="2"/>
  <c r="G13" i="2"/>
  <c r="I13" i="2"/>
  <c r="D14" i="2"/>
  <c r="H13" i="2"/>
  <c r="C14" i="2"/>
  <c r="F14" i="2"/>
  <c r="G14" i="2"/>
  <c r="I14" i="2"/>
  <c r="D15" i="2"/>
  <c r="H14" i="2"/>
  <c r="C15" i="2"/>
  <c r="F15" i="2"/>
  <c r="G15" i="2"/>
  <c r="I15" i="2"/>
  <c r="D16" i="2"/>
  <c r="H15" i="2"/>
  <c r="C16" i="2"/>
  <c r="F16" i="2"/>
  <c r="G16" i="2"/>
  <c r="I16" i="2"/>
  <c r="D17" i="2"/>
  <c r="H16" i="2"/>
  <c r="C17" i="2"/>
  <c r="F17" i="2"/>
  <c r="G17" i="2"/>
  <c r="I17" i="2"/>
  <c r="D18" i="2"/>
  <c r="H17" i="2"/>
  <c r="C18" i="2"/>
  <c r="F18" i="2"/>
  <c r="G18" i="2"/>
  <c r="I18" i="2"/>
  <c r="D19" i="2"/>
  <c r="H18" i="2"/>
  <c r="C19" i="2"/>
  <c r="F19" i="2"/>
  <c r="G19" i="2"/>
  <c r="I19" i="2"/>
  <c r="D20" i="2"/>
  <c r="H19" i="2"/>
  <c r="C20" i="2"/>
  <c r="F20" i="2"/>
  <c r="G20" i="2"/>
  <c r="I20" i="2"/>
  <c r="D21" i="2"/>
  <c r="H20" i="2"/>
  <c r="C21" i="2"/>
  <c r="F21" i="2"/>
  <c r="G21" i="2"/>
  <c r="I21" i="2"/>
  <c r="D22" i="2"/>
  <c r="H21" i="2"/>
  <c r="C22" i="2"/>
  <c r="F22" i="2"/>
  <c r="G22" i="2"/>
  <c r="I22" i="2"/>
  <c r="D23" i="2"/>
  <c r="H22" i="2"/>
  <c r="C23" i="2"/>
  <c r="F23" i="2"/>
  <c r="G23" i="2"/>
  <c r="I23" i="2"/>
  <c r="D24" i="2"/>
  <c r="H23" i="2"/>
  <c r="C24" i="2"/>
  <c r="F24" i="2"/>
  <c r="G24" i="2"/>
  <c r="I24" i="2"/>
  <c r="D25" i="2"/>
  <c r="H24" i="2"/>
  <c r="C25" i="2"/>
  <c r="F25" i="2"/>
  <c r="G25" i="2"/>
  <c r="I25" i="2"/>
  <c r="D26" i="2"/>
  <c r="H25" i="2"/>
  <c r="C26" i="2"/>
  <c r="F26" i="2"/>
  <c r="G26" i="2"/>
  <c r="I26" i="2"/>
  <c r="D27" i="2"/>
  <c r="H26" i="2"/>
  <c r="C27" i="2"/>
  <c r="F27" i="2"/>
  <c r="G27" i="2"/>
  <c r="I27" i="2"/>
  <c r="D28" i="2"/>
  <c r="H27" i="2"/>
  <c r="C28" i="2"/>
  <c r="F28" i="2"/>
  <c r="G28" i="2"/>
  <c r="I28" i="2"/>
  <c r="D29" i="2"/>
  <c r="H28" i="2"/>
  <c r="C29" i="2"/>
  <c r="F29" i="2"/>
  <c r="G29" i="2"/>
  <c r="I29" i="2"/>
  <c r="D30" i="2"/>
  <c r="H29" i="2"/>
  <c r="C30" i="2"/>
  <c r="F30" i="2"/>
  <c r="G30" i="2"/>
  <c r="I30" i="2"/>
  <c r="D31" i="2"/>
  <c r="H30" i="2"/>
  <c r="C31" i="2"/>
  <c r="F31" i="2"/>
  <c r="G31" i="2"/>
  <c r="I31" i="2"/>
  <c r="D32" i="2"/>
  <c r="H31" i="2"/>
  <c r="C32" i="2"/>
  <c r="F32" i="2"/>
  <c r="F33" i="2"/>
  <c r="G4" i="13"/>
  <c r="K3" i="13"/>
  <c r="I4" i="13"/>
  <c r="D5" i="13"/>
  <c r="H4" i="13"/>
  <c r="C5" i="13"/>
  <c r="F5" i="13"/>
  <c r="J5" i="13"/>
  <c r="G5" i="13"/>
  <c r="K4" i="13"/>
  <c r="I5" i="13"/>
  <c r="D6" i="13"/>
  <c r="H5" i="13"/>
  <c r="C6" i="13"/>
  <c r="F6" i="13"/>
  <c r="J6" i="13"/>
  <c r="K5" i="13"/>
  <c r="G6" i="13"/>
  <c r="K6" i="13"/>
  <c r="I6" i="13"/>
  <c r="D7" i="13"/>
  <c r="H6" i="13"/>
  <c r="C7" i="13"/>
  <c r="F7" i="13"/>
  <c r="G7" i="13"/>
  <c r="I7" i="13"/>
  <c r="D8" i="13"/>
  <c r="H7" i="13"/>
  <c r="C8" i="13"/>
  <c r="F8" i="13"/>
  <c r="N33" i="19"/>
  <c r="D4" i="19"/>
  <c r="C4" i="19"/>
  <c r="M3" i="19"/>
  <c r="L3" i="19"/>
  <c r="L34" i="19"/>
  <c r="K3" i="19"/>
  <c r="K34" i="19"/>
  <c r="J3" i="19"/>
  <c r="M1" i="19"/>
  <c r="K1" i="19"/>
  <c r="F36" i="16"/>
  <c r="F38" i="16"/>
  <c r="K1" i="18"/>
  <c r="F4" i="19"/>
  <c r="G4" i="19"/>
  <c r="K4" i="19"/>
  <c r="E4" i="19"/>
  <c r="E4" i="18"/>
  <c r="D4" i="16"/>
  <c r="C4" i="16"/>
  <c r="N3" i="16"/>
  <c r="M3" i="16"/>
  <c r="L3" i="16"/>
  <c r="K3" i="16"/>
  <c r="N1" i="16"/>
  <c r="L1" i="16"/>
  <c r="J4" i="19"/>
  <c r="M4" i="19"/>
  <c r="I4" i="19"/>
  <c r="D5" i="19"/>
  <c r="L4" i="19"/>
  <c r="H5" i="18"/>
  <c r="E4" i="16"/>
  <c r="F4" i="16"/>
  <c r="G4" i="16"/>
  <c r="H4" i="16"/>
  <c r="N4" i="16"/>
  <c r="K1" i="15"/>
  <c r="M3" i="15"/>
  <c r="M1" i="15"/>
  <c r="H4" i="19"/>
  <c r="C5" i="19"/>
  <c r="E5" i="19"/>
  <c r="E5" i="18"/>
  <c r="G5" i="18"/>
  <c r="L4" i="16"/>
  <c r="K4" i="16"/>
  <c r="M4" i="16"/>
  <c r="E4" i="15"/>
  <c r="K1" i="13"/>
  <c r="F5" i="19"/>
  <c r="I4" i="16"/>
  <c r="C5" i="16"/>
  <c r="J4" i="16"/>
  <c r="D5" i="16"/>
  <c r="K5" i="18"/>
  <c r="I5" i="18"/>
  <c r="C6" i="18"/>
  <c r="E4" i="13"/>
  <c r="G5" i="19"/>
  <c r="K5" i="19"/>
  <c r="L5" i="19"/>
  <c r="E5" i="16"/>
  <c r="F5" i="16"/>
  <c r="D6" i="18"/>
  <c r="G5" i="16"/>
  <c r="H5" i="16"/>
  <c r="C5" i="15"/>
  <c r="M4" i="15"/>
  <c r="M5" i="19"/>
  <c r="I5" i="19"/>
  <c r="D6" i="19"/>
  <c r="C6" i="19"/>
  <c r="F6" i="18"/>
  <c r="E6" i="18"/>
  <c r="M5" i="16"/>
  <c r="K5" i="16"/>
  <c r="L5" i="16"/>
  <c r="N5" i="16"/>
  <c r="I4" i="15"/>
  <c r="D5" i="15"/>
  <c r="F5" i="15"/>
  <c r="F6" i="19"/>
  <c r="G6" i="19"/>
  <c r="E6" i="19"/>
  <c r="I5" i="16"/>
  <c r="C6" i="16"/>
  <c r="J5" i="16"/>
  <c r="D6" i="16"/>
  <c r="G6" i="18"/>
  <c r="J6" i="18"/>
  <c r="H6" i="18"/>
  <c r="E5" i="15"/>
  <c r="J5" i="15"/>
  <c r="L5" i="15"/>
  <c r="G5" i="15"/>
  <c r="E5" i="13"/>
  <c r="D4" i="6"/>
  <c r="C4" i="6"/>
  <c r="G2" i="6"/>
  <c r="F2" i="6"/>
  <c r="J6" i="19"/>
  <c r="L6" i="19"/>
  <c r="C7" i="18"/>
  <c r="K6" i="18"/>
  <c r="I6" i="18"/>
  <c r="G6" i="16"/>
  <c r="E6" i="16"/>
  <c r="F6" i="16"/>
  <c r="H5" i="15"/>
  <c r="C6" i="15"/>
  <c r="K5" i="15"/>
  <c r="M5" i="15"/>
  <c r="E4" i="6"/>
  <c r="F4" i="6"/>
  <c r="D4" i="3"/>
  <c r="C4" i="3"/>
  <c r="B7" i="1"/>
  <c r="C7" i="1"/>
  <c r="B8" i="1"/>
  <c r="C8" i="1"/>
  <c r="B9" i="1"/>
  <c r="C9" i="1"/>
  <c r="B10" i="1"/>
  <c r="C10" i="1"/>
  <c r="B11" i="1"/>
  <c r="C11" i="1"/>
  <c r="B12" i="1"/>
  <c r="C12" i="1"/>
  <c r="B13" i="1"/>
  <c r="C13" i="1"/>
  <c r="B14" i="1"/>
  <c r="C14" i="1"/>
  <c r="B15" i="1"/>
  <c r="C15" i="1"/>
  <c r="B16" i="1"/>
  <c r="C16" i="1"/>
  <c r="B17" i="1"/>
  <c r="C17" i="1"/>
  <c r="B18" i="1"/>
  <c r="C18" i="1"/>
  <c r="B19" i="1"/>
  <c r="C19" i="1"/>
  <c r="B20" i="1"/>
  <c r="C20" i="1"/>
  <c r="B21" i="1"/>
  <c r="C21" i="1"/>
  <c r="B22" i="1"/>
  <c r="C22" i="1"/>
  <c r="B23" i="1"/>
  <c r="C23" i="1"/>
  <c r="B24" i="1"/>
  <c r="C24" i="1"/>
  <c r="B25" i="1"/>
  <c r="C25" i="1"/>
  <c r="B26" i="1"/>
  <c r="C26" i="1"/>
  <c r="B27" i="1"/>
  <c r="C27" i="1"/>
  <c r="B28" i="1"/>
  <c r="C28" i="1"/>
  <c r="B29" i="1"/>
  <c r="C29" i="1"/>
  <c r="B30" i="1"/>
  <c r="C30" i="1"/>
  <c r="B31" i="1"/>
  <c r="C31" i="1"/>
  <c r="B32" i="1"/>
  <c r="C32" i="1"/>
  <c r="B33" i="1"/>
  <c r="C33" i="1"/>
  <c r="B34" i="1"/>
  <c r="C34" i="1"/>
  <c r="B6" i="1"/>
  <c r="C6" i="1"/>
  <c r="G4" i="3"/>
  <c r="E4" i="3"/>
  <c r="H6" i="19"/>
  <c r="C7" i="19"/>
  <c r="K6" i="19"/>
  <c r="M6" i="19"/>
  <c r="D7" i="18"/>
  <c r="H6" i="16"/>
  <c r="M6" i="16"/>
  <c r="K6" i="16"/>
  <c r="I5" i="15"/>
  <c r="D6" i="15"/>
  <c r="F6" i="15"/>
  <c r="G4" i="6"/>
  <c r="I4" i="6"/>
  <c r="C5" i="6"/>
  <c r="I4" i="3"/>
  <c r="I6" i="19"/>
  <c r="D7" i="19"/>
  <c r="I6" i="16"/>
  <c r="C7" i="16"/>
  <c r="E7" i="18"/>
  <c r="F7" i="18"/>
  <c r="N6" i="16"/>
  <c r="L6" i="16"/>
  <c r="E6" i="15"/>
  <c r="G6" i="15"/>
  <c r="L6" i="15"/>
  <c r="J6" i="15"/>
  <c r="E6" i="13"/>
  <c r="F4" i="3"/>
  <c r="J4" i="3"/>
  <c r="K4" i="3"/>
  <c r="N4" i="3"/>
  <c r="C5" i="3"/>
  <c r="H4" i="6"/>
  <c r="D5" i="6"/>
  <c r="E5" i="6"/>
  <c r="E4" i="2"/>
  <c r="H4" i="3"/>
  <c r="F7" i="19"/>
  <c r="E7" i="19"/>
  <c r="J6" i="16"/>
  <c r="D7" i="16"/>
  <c r="G7" i="18"/>
  <c r="J7" i="18"/>
  <c r="H7" i="18"/>
  <c r="H6" i="15"/>
  <c r="C7" i="15"/>
  <c r="M6" i="15"/>
  <c r="K6" i="15"/>
  <c r="L4" i="3"/>
  <c r="M4" i="3"/>
  <c r="D5" i="3"/>
  <c r="E5" i="3"/>
  <c r="F5" i="3"/>
  <c r="F5" i="6"/>
  <c r="G7" i="19"/>
  <c r="L7" i="19"/>
  <c r="J7" i="19"/>
  <c r="E7" i="16"/>
  <c r="F7" i="16"/>
  <c r="K7" i="18"/>
  <c r="I7" i="18"/>
  <c r="C8" i="18"/>
  <c r="G7" i="16"/>
  <c r="I6" i="15"/>
  <c r="D7" i="15"/>
  <c r="G5" i="6"/>
  <c r="I5" i="6"/>
  <c r="C6" i="6"/>
  <c r="G5" i="3"/>
  <c r="I5" i="3"/>
  <c r="E5" i="2"/>
  <c r="H7" i="19"/>
  <c r="C8" i="19"/>
  <c r="M7" i="19"/>
  <c r="K7" i="19"/>
  <c r="D8" i="18"/>
  <c r="H7" i="16"/>
  <c r="M7" i="16"/>
  <c r="K7" i="16"/>
  <c r="F7" i="15"/>
  <c r="E7" i="15"/>
  <c r="E7" i="13"/>
  <c r="J5" i="3"/>
  <c r="K5" i="3"/>
  <c r="N5" i="3"/>
  <c r="C6" i="3"/>
  <c r="H5" i="6"/>
  <c r="D6" i="6"/>
  <c r="I7" i="19"/>
  <c r="D8" i="19"/>
  <c r="E8" i="19"/>
  <c r="I7" i="16"/>
  <c r="C8" i="16"/>
  <c r="E8" i="18"/>
  <c r="F8" i="18"/>
  <c r="N7" i="16"/>
  <c r="L7" i="16"/>
  <c r="J7" i="15"/>
  <c r="L7" i="15"/>
  <c r="G7" i="15"/>
  <c r="J7" i="13"/>
  <c r="H5" i="3"/>
  <c r="L5" i="3"/>
  <c r="M5" i="3"/>
  <c r="D6" i="3"/>
  <c r="G6" i="3"/>
  <c r="E6" i="6"/>
  <c r="F6" i="6"/>
  <c r="F8" i="19"/>
  <c r="J7" i="16"/>
  <c r="D8" i="16"/>
  <c r="G8" i="18"/>
  <c r="J8" i="18"/>
  <c r="H8" i="18"/>
  <c r="H7" i="15"/>
  <c r="C8" i="15"/>
  <c r="M7" i="15"/>
  <c r="K7" i="15"/>
  <c r="K7" i="13"/>
  <c r="E8" i="13"/>
  <c r="E6" i="3"/>
  <c r="F6" i="3"/>
  <c r="I6" i="3"/>
  <c r="G6" i="6"/>
  <c r="I6" i="6"/>
  <c r="C7" i="6"/>
  <c r="E6" i="2"/>
  <c r="K6" i="3"/>
  <c r="N6" i="3"/>
  <c r="C7" i="3"/>
  <c r="G8" i="19"/>
  <c r="J8" i="19"/>
  <c r="L8" i="19"/>
  <c r="C9" i="18"/>
  <c r="K8" i="18"/>
  <c r="I8" i="18"/>
  <c r="G8" i="16"/>
  <c r="E8" i="16"/>
  <c r="F8" i="16"/>
  <c r="I7" i="15"/>
  <c r="D8" i="15"/>
  <c r="E8" i="15"/>
  <c r="J6" i="3"/>
  <c r="H6" i="3"/>
  <c r="H6" i="6"/>
  <c r="D7" i="6"/>
  <c r="L6" i="3"/>
  <c r="M6" i="3"/>
  <c r="D7" i="3"/>
  <c r="G7" i="3"/>
  <c r="H8" i="19"/>
  <c r="C9" i="19"/>
  <c r="M8" i="19"/>
  <c r="K8" i="19"/>
  <c r="D9" i="18"/>
  <c r="H8" i="16"/>
  <c r="M8" i="16"/>
  <c r="K8" i="16"/>
  <c r="F8" i="15"/>
  <c r="J8" i="13"/>
  <c r="H8" i="13"/>
  <c r="C9" i="13"/>
  <c r="G8" i="13"/>
  <c r="E7" i="6"/>
  <c r="F7" i="6"/>
  <c r="I7" i="3"/>
  <c r="E7" i="3"/>
  <c r="F7" i="3"/>
  <c r="I8" i="19"/>
  <c r="D9" i="19"/>
  <c r="I8" i="16"/>
  <c r="C9" i="16"/>
  <c r="E9" i="18"/>
  <c r="F9" i="18"/>
  <c r="N8" i="16"/>
  <c r="L8" i="16"/>
  <c r="L8" i="15"/>
  <c r="J8" i="15"/>
  <c r="G8" i="15"/>
  <c r="K8" i="13"/>
  <c r="I8" i="13"/>
  <c r="D9" i="13"/>
  <c r="G7" i="6"/>
  <c r="I7" i="6"/>
  <c r="C8" i="6"/>
  <c r="E7" i="2"/>
  <c r="K7" i="3"/>
  <c r="L7" i="3"/>
  <c r="M7" i="3"/>
  <c r="D8" i="3"/>
  <c r="F9" i="19"/>
  <c r="E9" i="19"/>
  <c r="J8" i="16"/>
  <c r="D9" i="16"/>
  <c r="G9" i="18"/>
  <c r="J9" i="18"/>
  <c r="H9" i="18"/>
  <c r="H8" i="15"/>
  <c r="C9" i="15"/>
  <c r="K8" i="15"/>
  <c r="M8" i="15"/>
  <c r="F9" i="13"/>
  <c r="E9" i="13"/>
  <c r="H7" i="3"/>
  <c r="J7" i="3"/>
  <c r="H7" i="6"/>
  <c r="D8" i="6"/>
  <c r="N7" i="3"/>
  <c r="C8" i="3"/>
  <c r="E8" i="3"/>
  <c r="K8" i="3"/>
  <c r="N8" i="3"/>
  <c r="C9" i="3"/>
  <c r="G9" i="19"/>
  <c r="L9" i="19"/>
  <c r="J9" i="19"/>
  <c r="E9" i="16"/>
  <c r="F9" i="16"/>
  <c r="C10" i="18"/>
  <c r="K9" i="18"/>
  <c r="I9" i="18"/>
  <c r="G9" i="16"/>
  <c r="I8" i="15"/>
  <c r="D9" i="15"/>
  <c r="F9" i="15"/>
  <c r="J9" i="13"/>
  <c r="G9" i="13"/>
  <c r="H9" i="13"/>
  <c r="C10" i="13"/>
  <c r="E8" i="6"/>
  <c r="F8" i="6"/>
  <c r="I8" i="3"/>
  <c r="G8" i="3"/>
  <c r="H9" i="19"/>
  <c r="C10" i="19"/>
  <c r="M9" i="19"/>
  <c r="K9" i="19"/>
  <c r="D10" i="18"/>
  <c r="H9" i="16"/>
  <c r="K9" i="16"/>
  <c r="M9" i="16"/>
  <c r="G9" i="15"/>
  <c r="L9" i="15"/>
  <c r="J9" i="15"/>
  <c r="E9" i="15"/>
  <c r="F8" i="3"/>
  <c r="K9" i="13"/>
  <c r="I9" i="13"/>
  <c r="D10" i="13"/>
  <c r="L8" i="3"/>
  <c r="M8" i="3"/>
  <c r="D9" i="3"/>
  <c r="E9" i="3"/>
  <c r="E8" i="2"/>
  <c r="G8" i="6"/>
  <c r="I8" i="6"/>
  <c r="C9" i="6"/>
  <c r="J8" i="3"/>
  <c r="I9" i="19"/>
  <c r="D10" i="19"/>
  <c r="E10" i="19"/>
  <c r="I9" i="16"/>
  <c r="C10" i="16"/>
  <c r="E10" i="18"/>
  <c r="F10" i="18"/>
  <c r="L9" i="16"/>
  <c r="N9" i="16"/>
  <c r="K9" i="15"/>
  <c r="M9" i="15"/>
  <c r="H9" i="15"/>
  <c r="C10" i="15"/>
  <c r="H8" i="3"/>
  <c r="E10" i="13"/>
  <c r="F10" i="13"/>
  <c r="F9" i="3"/>
  <c r="K9" i="3"/>
  <c r="N9" i="3"/>
  <c r="H8" i="6"/>
  <c r="D9" i="6"/>
  <c r="G9" i="3"/>
  <c r="I9" i="3"/>
  <c r="F10" i="19"/>
  <c r="J9" i="16"/>
  <c r="D10" i="16"/>
  <c r="G10" i="18"/>
  <c r="J10" i="18"/>
  <c r="H10" i="18"/>
  <c r="I9" i="15"/>
  <c r="D10" i="15"/>
  <c r="F10" i="15"/>
  <c r="H9" i="3"/>
  <c r="J9" i="3"/>
  <c r="J10" i="13"/>
  <c r="G10" i="13"/>
  <c r="H10" i="13"/>
  <c r="C11" i="13"/>
  <c r="F9" i="6"/>
  <c r="E9" i="6"/>
  <c r="L9" i="3"/>
  <c r="M9" i="3"/>
  <c r="D10" i="3"/>
  <c r="C10" i="3"/>
  <c r="G10" i="19"/>
  <c r="J10" i="19"/>
  <c r="L10" i="19"/>
  <c r="C11" i="18"/>
  <c r="K10" i="18"/>
  <c r="I10" i="18"/>
  <c r="G10" i="16"/>
  <c r="E10" i="16"/>
  <c r="F10" i="16"/>
  <c r="E10" i="15"/>
  <c r="J10" i="15"/>
  <c r="G10" i="15"/>
  <c r="L10" i="15"/>
  <c r="K10" i="13"/>
  <c r="I10" i="13"/>
  <c r="D11" i="13"/>
  <c r="E9" i="2"/>
  <c r="G9" i="6"/>
  <c r="H9" i="6"/>
  <c r="D10" i="6"/>
  <c r="I9" i="6"/>
  <c r="C10" i="6"/>
  <c r="E10" i="3"/>
  <c r="I10" i="3"/>
  <c r="G10" i="3"/>
  <c r="H10" i="19"/>
  <c r="C11" i="19"/>
  <c r="M10" i="19"/>
  <c r="K10" i="19"/>
  <c r="D11" i="18"/>
  <c r="H10" i="16"/>
  <c r="M10" i="16"/>
  <c r="K10" i="16"/>
  <c r="K10" i="15"/>
  <c r="H10" i="15"/>
  <c r="C11" i="15"/>
  <c r="M10" i="15"/>
  <c r="F11" i="13"/>
  <c r="E11" i="13"/>
  <c r="F10" i="3"/>
  <c r="H10" i="3"/>
  <c r="K10" i="3"/>
  <c r="L10" i="3"/>
  <c r="M10" i="3"/>
  <c r="D11" i="3"/>
  <c r="E10" i="6"/>
  <c r="F10" i="6"/>
  <c r="G10" i="6"/>
  <c r="H10" i="6"/>
  <c r="D11" i="6"/>
  <c r="I10" i="19"/>
  <c r="D11" i="19"/>
  <c r="E11" i="19"/>
  <c r="I10" i="16"/>
  <c r="C11" i="16"/>
  <c r="E11" i="18"/>
  <c r="F11" i="18"/>
  <c r="N10" i="16"/>
  <c r="L10" i="16"/>
  <c r="I10" i="15"/>
  <c r="D11" i="15"/>
  <c r="E11" i="15"/>
  <c r="J11" i="13"/>
  <c r="G11" i="13"/>
  <c r="H11" i="13"/>
  <c r="C12" i="13"/>
  <c r="J10" i="3"/>
  <c r="N10" i="3"/>
  <c r="C11" i="3"/>
  <c r="E11" i="3"/>
  <c r="I10" i="6"/>
  <c r="C11" i="6"/>
  <c r="F11" i="19"/>
  <c r="J10" i="16"/>
  <c r="D11" i="16"/>
  <c r="G11" i="18"/>
  <c r="J11" i="18"/>
  <c r="H11" i="18"/>
  <c r="F11" i="15"/>
  <c r="K11" i="13"/>
  <c r="I11" i="13"/>
  <c r="D12" i="13"/>
  <c r="G11" i="3"/>
  <c r="E10" i="2"/>
  <c r="F11" i="3"/>
  <c r="K11" i="3"/>
  <c r="L11" i="3"/>
  <c r="M11" i="3"/>
  <c r="D12" i="3"/>
  <c r="I11" i="3"/>
  <c r="E11" i="6"/>
  <c r="F11" i="6"/>
  <c r="G11" i="6"/>
  <c r="H11" i="6"/>
  <c r="D12" i="6"/>
  <c r="G11" i="19"/>
  <c r="L11" i="19"/>
  <c r="J11" i="19"/>
  <c r="E11" i="16"/>
  <c r="F11" i="16"/>
  <c r="C12" i="18"/>
  <c r="K11" i="18"/>
  <c r="I11" i="18"/>
  <c r="G11" i="16"/>
  <c r="G11" i="15"/>
  <c r="L11" i="15"/>
  <c r="J11" i="15"/>
  <c r="E12" i="13"/>
  <c r="F12" i="13"/>
  <c r="J11" i="3"/>
  <c r="H11" i="3"/>
  <c r="N11" i="3"/>
  <c r="C12" i="3"/>
  <c r="I12" i="3"/>
  <c r="I11" i="6"/>
  <c r="C12" i="6"/>
  <c r="H11" i="19"/>
  <c r="C12" i="19"/>
  <c r="M11" i="19"/>
  <c r="K11" i="19"/>
  <c r="D12" i="18"/>
  <c r="H11" i="16"/>
  <c r="K11" i="16"/>
  <c r="M11" i="16"/>
  <c r="K11" i="15"/>
  <c r="M11" i="15"/>
  <c r="H11" i="15"/>
  <c r="C12" i="15"/>
  <c r="J12" i="13"/>
  <c r="H12" i="13"/>
  <c r="C13" i="13"/>
  <c r="G12" i="13"/>
  <c r="E12" i="3"/>
  <c r="G12" i="3"/>
  <c r="E12" i="6"/>
  <c r="F12" i="6"/>
  <c r="G12" i="6"/>
  <c r="H12" i="6"/>
  <c r="D13" i="6"/>
  <c r="I11" i="19"/>
  <c r="D12" i="19"/>
  <c r="I11" i="16"/>
  <c r="C12" i="16"/>
  <c r="E12" i="18"/>
  <c r="F12" i="18"/>
  <c r="L11" i="16"/>
  <c r="N11" i="16"/>
  <c r="I11" i="15"/>
  <c r="D12" i="15"/>
  <c r="E12" i="15"/>
  <c r="K12" i="13"/>
  <c r="I12" i="13"/>
  <c r="D13" i="13"/>
  <c r="E13" i="13"/>
  <c r="E11" i="2"/>
  <c r="F12" i="3"/>
  <c r="J12" i="3"/>
  <c r="K12" i="3"/>
  <c r="I12" i="6"/>
  <c r="C13" i="6"/>
  <c r="F12" i="19"/>
  <c r="E12" i="19"/>
  <c r="J11" i="16"/>
  <c r="D12" i="16"/>
  <c r="G12" i="18"/>
  <c r="J12" i="18"/>
  <c r="H12" i="18"/>
  <c r="F12" i="15"/>
  <c r="F13" i="13"/>
  <c r="L12" i="3"/>
  <c r="M12" i="3"/>
  <c r="D13" i="3"/>
  <c r="N12" i="3"/>
  <c r="C13" i="3"/>
  <c r="H12" i="3"/>
  <c r="E13" i="6"/>
  <c r="F13" i="6"/>
  <c r="G13" i="6"/>
  <c r="H13" i="6"/>
  <c r="D14" i="6"/>
  <c r="G12" i="19"/>
  <c r="J12" i="19"/>
  <c r="L12" i="19"/>
  <c r="E12" i="16"/>
  <c r="F12" i="16"/>
  <c r="C13" i="18"/>
  <c r="K12" i="18"/>
  <c r="I12" i="18"/>
  <c r="G12" i="16"/>
  <c r="L12" i="15"/>
  <c r="G12" i="15"/>
  <c r="J12" i="15"/>
  <c r="J13" i="13"/>
  <c r="G13" i="13"/>
  <c r="H13" i="13"/>
  <c r="C14" i="13"/>
  <c r="E13" i="3"/>
  <c r="G13" i="3"/>
  <c r="I13" i="3"/>
  <c r="I13" i="6"/>
  <c r="C14" i="6"/>
  <c r="H12" i="19"/>
  <c r="C13" i="19"/>
  <c r="K12" i="19"/>
  <c r="M12" i="19"/>
  <c r="D13" i="18"/>
  <c r="H12" i="16"/>
  <c r="K12" i="16"/>
  <c r="M12" i="16"/>
  <c r="H12" i="15"/>
  <c r="C13" i="15"/>
  <c r="K12" i="15"/>
  <c r="M12" i="15"/>
  <c r="K13" i="13"/>
  <c r="I13" i="13"/>
  <c r="D14" i="13"/>
  <c r="E12" i="2"/>
  <c r="F13" i="3"/>
  <c r="H13" i="3"/>
  <c r="K13" i="3"/>
  <c r="E14" i="6"/>
  <c r="F14" i="6"/>
  <c r="G14" i="6"/>
  <c r="H14" i="6"/>
  <c r="D15" i="6"/>
  <c r="I12" i="19"/>
  <c r="D13" i="19"/>
  <c r="I12" i="16"/>
  <c r="C13" i="16"/>
  <c r="F13" i="18"/>
  <c r="E13" i="18"/>
  <c r="N12" i="16"/>
  <c r="L12" i="16"/>
  <c r="I12" i="15"/>
  <c r="D13" i="15"/>
  <c r="F13" i="15"/>
  <c r="F14" i="13"/>
  <c r="E14" i="13"/>
  <c r="J13" i="3"/>
  <c r="L13" i="3"/>
  <c r="M13" i="3"/>
  <c r="D14" i="3"/>
  <c r="N13" i="3"/>
  <c r="C14" i="3"/>
  <c r="I14" i="6"/>
  <c r="C15" i="6"/>
  <c r="F13" i="19"/>
  <c r="E13" i="19"/>
  <c r="J12" i="16"/>
  <c r="D13" i="16"/>
  <c r="G13" i="18"/>
  <c r="J13" i="18"/>
  <c r="H13" i="18"/>
  <c r="E13" i="15"/>
  <c r="J13" i="15"/>
  <c r="L13" i="15"/>
  <c r="G13" i="15"/>
  <c r="J14" i="13"/>
  <c r="G14" i="13"/>
  <c r="H14" i="13"/>
  <c r="C15" i="13"/>
  <c r="G14" i="3"/>
  <c r="E14" i="3"/>
  <c r="I14" i="3"/>
  <c r="F15" i="6"/>
  <c r="G15" i="6"/>
  <c r="H15" i="6"/>
  <c r="D16" i="6"/>
  <c r="E15" i="6"/>
  <c r="G13" i="19"/>
  <c r="L13" i="19"/>
  <c r="J13" i="19"/>
  <c r="K13" i="18"/>
  <c r="I13" i="18"/>
  <c r="C14" i="18"/>
  <c r="G13" i="16"/>
  <c r="E13" i="16"/>
  <c r="F13" i="16"/>
  <c r="H13" i="15"/>
  <c r="C14" i="15"/>
  <c r="K13" i="15"/>
  <c r="M13" i="15"/>
  <c r="K14" i="13"/>
  <c r="I14" i="13"/>
  <c r="D15" i="13"/>
  <c r="E15" i="13"/>
  <c r="E13" i="2"/>
  <c r="F14" i="3"/>
  <c r="J14" i="3"/>
  <c r="K14" i="3"/>
  <c r="I15" i="6"/>
  <c r="C16" i="6"/>
  <c r="H13" i="19"/>
  <c r="C14" i="19"/>
  <c r="M13" i="19"/>
  <c r="K13" i="19"/>
  <c r="D14" i="18"/>
  <c r="H13" i="16"/>
  <c r="M13" i="16"/>
  <c r="K13" i="16"/>
  <c r="I13" i="15"/>
  <c r="D14" i="15"/>
  <c r="E14" i="15"/>
  <c r="F15" i="13"/>
  <c r="H14" i="3"/>
  <c r="L14" i="3"/>
  <c r="M14" i="3"/>
  <c r="D15" i="3"/>
  <c r="N14" i="3"/>
  <c r="C15" i="3"/>
  <c r="F16" i="6"/>
  <c r="G16" i="6"/>
  <c r="H16" i="6"/>
  <c r="D17" i="6"/>
  <c r="E16" i="6"/>
  <c r="I13" i="19"/>
  <c r="D14" i="19"/>
  <c r="I13" i="16"/>
  <c r="C14" i="16"/>
  <c r="F14" i="18"/>
  <c r="E14" i="18"/>
  <c r="N13" i="16"/>
  <c r="L13" i="16"/>
  <c r="F14" i="15"/>
  <c r="L14" i="15"/>
  <c r="J15" i="13"/>
  <c r="H15" i="13"/>
  <c r="C16" i="13"/>
  <c r="G15" i="13"/>
  <c r="G15" i="3"/>
  <c r="E15" i="3"/>
  <c r="I15" i="3"/>
  <c r="I16" i="6"/>
  <c r="C17" i="6"/>
  <c r="E17" i="6"/>
  <c r="F14" i="19"/>
  <c r="E14" i="19"/>
  <c r="J13" i="16"/>
  <c r="D14" i="16"/>
  <c r="G14" i="18"/>
  <c r="J14" i="18"/>
  <c r="H14" i="18"/>
  <c r="J14" i="15"/>
  <c r="H14" i="15"/>
  <c r="C15" i="15"/>
  <c r="G14" i="15"/>
  <c r="K15" i="13"/>
  <c r="I15" i="13"/>
  <c r="D16" i="13"/>
  <c r="E14" i="2"/>
  <c r="F15" i="3"/>
  <c r="J15" i="3"/>
  <c r="K15" i="3"/>
  <c r="F17" i="6"/>
  <c r="G17" i="6"/>
  <c r="H17" i="6"/>
  <c r="D18" i="6"/>
  <c r="G14" i="19"/>
  <c r="J14" i="19"/>
  <c r="L14" i="19"/>
  <c r="C15" i="18"/>
  <c r="K14" i="18"/>
  <c r="I14" i="18"/>
  <c r="G14" i="16"/>
  <c r="E14" i="16"/>
  <c r="F14" i="16"/>
  <c r="M14" i="15"/>
  <c r="K14" i="15"/>
  <c r="F16" i="13"/>
  <c r="E16" i="13"/>
  <c r="H15" i="3"/>
  <c r="L15" i="3"/>
  <c r="M15" i="3"/>
  <c r="D16" i="3"/>
  <c r="N15" i="3"/>
  <c r="C16" i="3"/>
  <c r="I17" i="6"/>
  <c r="C18" i="6"/>
  <c r="H14" i="19"/>
  <c r="C15" i="19"/>
  <c r="M14" i="19"/>
  <c r="K14" i="19"/>
  <c r="D15" i="18"/>
  <c r="H14" i="16"/>
  <c r="M14" i="16"/>
  <c r="K14" i="16"/>
  <c r="I14" i="15"/>
  <c r="D15" i="15"/>
  <c r="F15" i="15"/>
  <c r="J16" i="13"/>
  <c r="G16" i="13"/>
  <c r="H16" i="13"/>
  <c r="C17" i="13"/>
  <c r="G16" i="3"/>
  <c r="E16" i="3"/>
  <c r="I16" i="3"/>
  <c r="F18" i="6"/>
  <c r="G18" i="6"/>
  <c r="H18" i="6"/>
  <c r="D19" i="6"/>
  <c r="E18" i="6"/>
  <c r="I14" i="19"/>
  <c r="D15" i="19"/>
  <c r="E15" i="19"/>
  <c r="I14" i="16"/>
  <c r="C15" i="16"/>
  <c r="E15" i="18"/>
  <c r="F15" i="18"/>
  <c r="N14" i="16"/>
  <c r="L14" i="16"/>
  <c r="E15" i="15"/>
  <c r="J15" i="15"/>
  <c r="L15" i="15"/>
  <c r="G15" i="15"/>
  <c r="K16" i="13"/>
  <c r="I16" i="13"/>
  <c r="D17" i="13"/>
  <c r="E15" i="2"/>
  <c r="F16" i="3"/>
  <c r="J16" i="3"/>
  <c r="K16" i="3"/>
  <c r="I18" i="6"/>
  <c r="C19" i="6"/>
  <c r="E19" i="6"/>
  <c r="F15" i="19"/>
  <c r="J14" i="16"/>
  <c r="D15" i="16"/>
  <c r="G15" i="18"/>
  <c r="J15" i="18"/>
  <c r="H15" i="18"/>
  <c r="H15" i="15"/>
  <c r="C16" i="15"/>
  <c r="M15" i="15"/>
  <c r="K15" i="15"/>
  <c r="F17" i="13"/>
  <c r="E17" i="13"/>
  <c r="H16" i="3"/>
  <c r="L16" i="3"/>
  <c r="M16" i="3"/>
  <c r="D17" i="3"/>
  <c r="N16" i="3"/>
  <c r="C17" i="3"/>
  <c r="F19" i="6"/>
  <c r="G19" i="6"/>
  <c r="H19" i="6"/>
  <c r="D20" i="6"/>
  <c r="G15" i="19"/>
  <c r="L15" i="19"/>
  <c r="J15" i="19"/>
  <c r="E15" i="16"/>
  <c r="F15" i="16"/>
  <c r="C16" i="18"/>
  <c r="K15" i="18"/>
  <c r="I15" i="18"/>
  <c r="G15" i="16"/>
  <c r="I15" i="15"/>
  <c r="D16" i="15"/>
  <c r="J17" i="13"/>
  <c r="G17" i="13"/>
  <c r="H17" i="13"/>
  <c r="C18" i="13"/>
  <c r="G17" i="3"/>
  <c r="E17" i="3"/>
  <c r="I17" i="3"/>
  <c r="I19" i="6"/>
  <c r="C20" i="6"/>
  <c r="F20" i="6"/>
  <c r="G20" i="6"/>
  <c r="H20" i="6"/>
  <c r="D21" i="6"/>
  <c r="H15" i="19"/>
  <c r="C16" i="19"/>
  <c r="M15" i="19"/>
  <c r="K15" i="19"/>
  <c r="D16" i="18"/>
  <c r="H15" i="16"/>
  <c r="M15" i="16"/>
  <c r="K15" i="16"/>
  <c r="E16" i="15"/>
  <c r="F16" i="15"/>
  <c r="K17" i="13"/>
  <c r="I17" i="13"/>
  <c r="D18" i="13"/>
  <c r="E16" i="2"/>
  <c r="F17" i="3"/>
  <c r="H17" i="3"/>
  <c r="K17" i="3"/>
  <c r="E20" i="6"/>
  <c r="I20" i="6"/>
  <c r="C21" i="6"/>
  <c r="I15" i="19"/>
  <c r="D16" i="19"/>
  <c r="I15" i="16"/>
  <c r="C16" i="16"/>
  <c r="E16" i="18"/>
  <c r="F16" i="18"/>
  <c r="L15" i="16"/>
  <c r="N15" i="16"/>
  <c r="L16" i="15"/>
  <c r="G16" i="15"/>
  <c r="J16" i="15"/>
  <c r="F18" i="13"/>
  <c r="E18" i="13"/>
  <c r="J17" i="3"/>
  <c r="L17" i="3"/>
  <c r="M17" i="3"/>
  <c r="D18" i="3"/>
  <c r="N17" i="3"/>
  <c r="C18" i="3"/>
  <c r="E21" i="6"/>
  <c r="F21" i="6"/>
  <c r="G21" i="6"/>
  <c r="H21" i="6"/>
  <c r="D22" i="6"/>
  <c r="F16" i="19"/>
  <c r="E16" i="19"/>
  <c r="J15" i="16"/>
  <c r="D16" i="16"/>
  <c r="G16" i="18"/>
  <c r="J16" i="18"/>
  <c r="H16" i="18"/>
  <c r="H16" i="15"/>
  <c r="C17" i="15"/>
  <c r="M16" i="15"/>
  <c r="K16" i="15"/>
  <c r="J18" i="13"/>
  <c r="G18" i="13"/>
  <c r="H18" i="13"/>
  <c r="C19" i="13"/>
  <c r="G18" i="3"/>
  <c r="E18" i="3"/>
  <c r="I18" i="3"/>
  <c r="I21" i="6"/>
  <c r="C22" i="6"/>
  <c r="F22" i="6"/>
  <c r="G22" i="6"/>
  <c r="H22" i="6"/>
  <c r="D23" i="6"/>
  <c r="G16" i="19"/>
  <c r="J16" i="19"/>
  <c r="L16" i="19"/>
  <c r="E16" i="16"/>
  <c r="F16" i="16"/>
  <c r="C17" i="18"/>
  <c r="K16" i="18"/>
  <c r="I16" i="18"/>
  <c r="G16" i="16"/>
  <c r="I16" i="15"/>
  <c r="D17" i="15"/>
  <c r="F17" i="15"/>
  <c r="J17" i="15"/>
  <c r="K18" i="13"/>
  <c r="I18" i="13"/>
  <c r="D19" i="13"/>
  <c r="E17" i="2"/>
  <c r="F18" i="3"/>
  <c r="J18" i="3"/>
  <c r="K18" i="3"/>
  <c r="E22" i="6"/>
  <c r="I22" i="6"/>
  <c r="C23" i="6"/>
  <c r="E23" i="6"/>
  <c r="H16" i="19"/>
  <c r="C17" i="19"/>
  <c r="M16" i="19"/>
  <c r="K16" i="19"/>
  <c r="D17" i="18"/>
  <c r="H16" i="16"/>
  <c r="M16" i="16"/>
  <c r="K16" i="16"/>
  <c r="G17" i="15"/>
  <c r="K17" i="15"/>
  <c r="E17" i="15"/>
  <c r="L17" i="15"/>
  <c r="H17" i="15"/>
  <c r="C18" i="15"/>
  <c r="E19" i="13"/>
  <c r="F19" i="13"/>
  <c r="H18" i="3"/>
  <c r="L18" i="3"/>
  <c r="M18" i="3"/>
  <c r="D19" i="3"/>
  <c r="N18" i="3"/>
  <c r="C19" i="3"/>
  <c r="F23" i="6"/>
  <c r="G23" i="6"/>
  <c r="H23" i="6"/>
  <c r="D24" i="6"/>
  <c r="I16" i="19"/>
  <c r="D17" i="19"/>
  <c r="I16" i="16"/>
  <c r="C17" i="16"/>
  <c r="F17" i="18"/>
  <c r="E17" i="18"/>
  <c r="N16" i="16"/>
  <c r="L16" i="16"/>
  <c r="M17" i="15"/>
  <c r="I17" i="15"/>
  <c r="D18" i="15"/>
  <c r="J19" i="13"/>
  <c r="H19" i="13"/>
  <c r="C20" i="13"/>
  <c r="G19" i="13"/>
  <c r="G19" i="3"/>
  <c r="E19" i="3"/>
  <c r="I19" i="3"/>
  <c r="I23" i="6"/>
  <c r="C24" i="6"/>
  <c r="F24" i="6"/>
  <c r="G24" i="6"/>
  <c r="H24" i="6"/>
  <c r="D25" i="6"/>
  <c r="F17" i="19"/>
  <c r="E17" i="19"/>
  <c r="J16" i="16"/>
  <c r="D17" i="16"/>
  <c r="G17" i="18"/>
  <c r="J17" i="18"/>
  <c r="H17" i="18"/>
  <c r="F18" i="15"/>
  <c r="E18" i="15"/>
  <c r="K19" i="13"/>
  <c r="I19" i="13"/>
  <c r="D20" i="13"/>
  <c r="E18" i="2"/>
  <c r="F19" i="3"/>
  <c r="J19" i="3"/>
  <c r="K19" i="3"/>
  <c r="I24" i="6"/>
  <c r="C25" i="6"/>
  <c r="E25" i="6"/>
  <c r="E24" i="6"/>
  <c r="G17" i="19"/>
  <c r="L17" i="19"/>
  <c r="J17" i="19"/>
  <c r="C18" i="18"/>
  <c r="K17" i="18"/>
  <c r="I17" i="18"/>
  <c r="G17" i="16"/>
  <c r="E17" i="16"/>
  <c r="F17" i="16"/>
  <c r="J18" i="15"/>
  <c r="G18" i="15"/>
  <c r="L18" i="15"/>
  <c r="E20" i="13"/>
  <c r="F20" i="13"/>
  <c r="L19" i="3"/>
  <c r="M19" i="3"/>
  <c r="D20" i="3"/>
  <c r="N19" i="3"/>
  <c r="C20" i="3"/>
  <c r="H19" i="3"/>
  <c r="F25" i="6"/>
  <c r="G25" i="6"/>
  <c r="H25" i="6"/>
  <c r="D26" i="6"/>
  <c r="H17" i="19"/>
  <c r="C18" i="19"/>
  <c r="K17" i="19"/>
  <c r="M17" i="19"/>
  <c r="D18" i="18"/>
  <c r="H17" i="16"/>
  <c r="M17" i="16"/>
  <c r="K17" i="16"/>
  <c r="M18" i="15"/>
  <c r="K18" i="15"/>
  <c r="H18" i="15"/>
  <c r="C19" i="15"/>
  <c r="J20" i="13"/>
  <c r="H20" i="13"/>
  <c r="C21" i="13"/>
  <c r="G20" i="13"/>
  <c r="E19" i="2"/>
  <c r="G20" i="3"/>
  <c r="E20" i="3"/>
  <c r="I20" i="3"/>
  <c r="I25" i="6"/>
  <c r="C26" i="6"/>
  <c r="I17" i="19"/>
  <c r="D18" i="19"/>
  <c r="E18" i="19"/>
  <c r="I17" i="16"/>
  <c r="C18" i="16"/>
  <c r="F18" i="18"/>
  <c r="E18" i="18"/>
  <c r="N17" i="16"/>
  <c r="L17" i="16"/>
  <c r="I18" i="15"/>
  <c r="D19" i="15"/>
  <c r="F19" i="15"/>
  <c r="K20" i="13"/>
  <c r="I20" i="13"/>
  <c r="D21" i="13"/>
  <c r="F20" i="3"/>
  <c r="H20" i="3"/>
  <c r="K20" i="3"/>
  <c r="E26" i="6"/>
  <c r="F26" i="6"/>
  <c r="G26" i="6"/>
  <c r="H26" i="6"/>
  <c r="D27" i="6"/>
  <c r="F18" i="19"/>
  <c r="J17" i="16"/>
  <c r="D18" i="16"/>
  <c r="G18" i="18"/>
  <c r="J18" i="18"/>
  <c r="H18" i="18"/>
  <c r="E19" i="15"/>
  <c r="G19" i="15"/>
  <c r="J19" i="15"/>
  <c r="L19" i="15"/>
  <c r="E21" i="13"/>
  <c r="F21" i="13"/>
  <c r="J20" i="3"/>
  <c r="L20" i="3"/>
  <c r="M20" i="3"/>
  <c r="D21" i="3"/>
  <c r="N20" i="3"/>
  <c r="C21" i="3"/>
  <c r="I26" i="6"/>
  <c r="C27" i="6"/>
  <c r="G18" i="19"/>
  <c r="J18" i="19"/>
  <c r="L18" i="19"/>
  <c r="C19" i="18"/>
  <c r="K18" i="18"/>
  <c r="I18" i="18"/>
  <c r="G18" i="16"/>
  <c r="E18" i="16"/>
  <c r="F18" i="16"/>
  <c r="H19" i="15"/>
  <c r="C20" i="15"/>
  <c r="M19" i="15"/>
  <c r="K19" i="15"/>
  <c r="J21" i="13"/>
  <c r="H21" i="13"/>
  <c r="C22" i="13"/>
  <c r="G21" i="13"/>
  <c r="E20" i="2"/>
  <c r="G21" i="3"/>
  <c r="E21" i="3"/>
  <c r="I21" i="3"/>
  <c r="F27" i="6"/>
  <c r="G27" i="6"/>
  <c r="H27" i="6"/>
  <c r="D28" i="6"/>
  <c r="E27" i="6"/>
  <c r="H18" i="19"/>
  <c r="C19" i="19"/>
  <c r="M18" i="19"/>
  <c r="K18" i="19"/>
  <c r="D19" i="18"/>
  <c r="H18" i="16"/>
  <c r="M18" i="16"/>
  <c r="K18" i="16"/>
  <c r="I19" i="15"/>
  <c r="D20" i="15"/>
  <c r="E20" i="15"/>
  <c r="K21" i="13"/>
  <c r="I21" i="13"/>
  <c r="D22" i="13"/>
  <c r="F21" i="3"/>
  <c r="J21" i="3"/>
  <c r="K21" i="3"/>
  <c r="I27" i="6"/>
  <c r="C28" i="6"/>
  <c r="I18" i="19"/>
  <c r="D19" i="19"/>
  <c r="I18" i="16"/>
  <c r="C19" i="16"/>
  <c r="E19" i="18"/>
  <c r="F19" i="18"/>
  <c r="N18" i="16"/>
  <c r="L18" i="16"/>
  <c r="F20" i="15"/>
  <c r="J20" i="15"/>
  <c r="F22" i="13"/>
  <c r="E22" i="13"/>
  <c r="H21" i="3"/>
  <c r="L21" i="3"/>
  <c r="M21" i="3"/>
  <c r="D22" i="3"/>
  <c r="N21" i="3"/>
  <c r="C22" i="3"/>
  <c r="F28" i="6"/>
  <c r="G28" i="6"/>
  <c r="H28" i="6"/>
  <c r="D29" i="6"/>
  <c r="E28" i="6"/>
  <c r="F19" i="19"/>
  <c r="E19" i="19"/>
  <c r="J18" i="16"/>
  <c r="D19" i="16"/>
  <c r="G19" i="18"/>
  <c r="J19" i="18"/>
  <c r="H19" i="18"/>
  <c r="L20" i="15"/>
  <c r="H20" i="15"/>
  <c r="C21" i="15"/>
  <c r="G20" i="15"/>
  <c r="J22" i="13"/>
  <c r="G22" i="13"/>
  <c r="H22" i="13"/>
  <c r="C23" i="13"/>
  <c r="E21" i="2"/>
  <c r="G22" i="3"/>
  <c r="E22" i="3"/>
  <c r="I22" i="3"/>
  <c r="I28" i="6"/>
  <c r="C29" i="6"/>
  <c r="G19" i="19"/>
  <c r="L19" i="19"/>
  <c r="J19" i="19"/>
  <c r="C20" i="18"/>
  <c r="K19" i="18"/>
  <c r="I19" i="18"/>
  <c r="G19" i="16"/>
  <c r="E19" i="16"/>
  <c r="F19" i="16"/>
  <c r="M20" i="15"/>
  <c r="K20" i="15"/>
  <c r="K22" i="13"/>
  <c r="I22" i="13"/>
  <c r="D23" i="13"/>
  <c r="F22" i="3"/>
  <c r="J22" i="3"/>
  <c r="K22" i="3"/>
  <c r="F29" i="6"/>
  <c r="G29" i="6"/>
  <c r="H29" i="6"/>
  <c r="D30" i="6"/>
  <c r="E29" i="6"/>
  <c r="H19" i="19"/>
  <c r="C20" i="19"/>
  <c r="M19" i="19"/>
  <c r="K19" i="19"/>
  <c r="D20" i="18"/>
  <c r="H19" i="16"/>
  <c r="K19" i="16"/>
  <c r="M19" i="16"/>
  <c r="I20" i="15"/>
  <c r="D21" i="15"/>
  <c r="E21" i="15"/>
  <c r="F23" i="13"/>
  <c r="E23" i="13"/>
  <c r="H22" i="3"/>
  <c r="L22" i="3"/>
  <c r="M22" i="3"/>
  <c r="D23" i="3"/>
  <c r="N22" i="3"/>
  <c r="C23" i="3"/>
  <c r="I29" i="6"/>
  <c r="C30" i="6"/>
  <c r="I19" i="19"/>
  <c r="D20" i="19"/>
  <c r="E20" i="19"/>
  <c r="I19" i="16"/>
  <c r="C20" i="16"/>
  <c r="F20" i="18"/>
  <c r="E20" i="18"/>
  <c r="N19" i="16"/>
  <c r="L19" i="16"/>
  <c r="F21" i="15"/>
  <c r="G21" i="15"/>
  <c r="J23" i="13"/>
  <c r="G23" i="13"/>
  <c r="H23" i="13"/>
  <c r="C24" i="13"/>
  <c r="E22" i="2"/>
  <c r="G23" i="3"/>
  <c r="E23" i="3"/>
  <c r="I23" i="3"/>
  <c r="E30" i="6"/>
  <c r="F30" i="6"/>
  <c r="G30" i="6"/>
  <c r="H30" i="6"/>
  <c r="D31" i="6"/>
  <c r="F20" i="19"/>
  <c r="J19" i="16"/>
  <c r="D20" i="16"/>
  <c r="G20" i="18"/>
  <c r="J20" i="18"/>
  <c r="H20" i="18"/>
  <c r="J21" i="15"/>
  <c r="L21" i="15"/>
  <c r="K21" i="15"/>
  <c r="M21" i="15"/>
  <c r="K23" i="13"/>
  <c r="I23" i="13"/>
  <c r="D24" i="13"/>
  <c r="F23" i="3"/>
  <c r="J23" i="3"/>
  <c r="K23" i="3"/>
  <c r="I30" i="6"/>
  <c r="C31" i="6"/>
  <c r="G20" i="19"/>
  <c r="J20" i="19"/>
  <c r="L20" i="19"/>
  <c r="C21" i="18"/>
  <c r="K20" i="18"/>
  <c r="I20" i="18"/>
  <c r="G20" i="16"/>
  <c r="E20" i="16"/>
  <c r="F20" i="16"/>
  <c r="H21" i="15"/>
  <c r="C22" i="15"/>
  <c r="I21" i="15"/>
  <c r="D22" i="15"/>
  <c r="E24" i="13"/>
  <c r="F24" i="13"/>
  <c r="H23" i="3"/>
  <c r="L23" i="3"/>
  <c r="M23" i="3"/>
  <c r="D24" i="3"/>
  <c r="N23" i="3"/>
  <c r="C24" i="3"/>
  <c r="F31" i="6"/>
  <c r="G31" i="6"/>
  <c r="H31" i="6"/>
  <c r="D32" i="6"/>
  <c r="E31" i="6"/>
  <c r="H20" i="19"/>
  <c r="C21" i="19"/>
  <c r="M20" i="19"/>
  <c r="K20" i="19"/>
  <c r="D21" i="18"/>
  <c r="H20" i="16"/>
  <c r="M20" i="16"/>
  <c r="K20" i="16"/>
  <c r="F22" i="15"/>
  <c r="E22" i="15"/>
  <c r="J24" i="13"/>
  <c r="G24" i="13"/>
  <c r="H24" i="13"/>
  <c r="C25" i="13"/>
  <c r="E23" i="2"/>
  <c r="G24" i="3"/>
  <c r="E24" i="3"/>
  <c r="I24" i="3"/>
  <c r="I31" i="6"/>
  <c r="C32" i="6"/>
  <c r="E32" i="6"/>
  <c r="I20" i="19"/>
  <c r="D21" i="19"/>
  <c r="E21" i="19"/>
  <c r="I20" i="16"/>
  <c r="C21" i="16"/>
  <c r="E21" i="18"/>
  <c r="F21" i="18"/>
  <c r="N20" i="16"/>
  <c r="L20" i="16"/>
  <c r="G22" i="15"/>
  <c r="M22" i="15"/>
  <c r="J22" i="15"/>
  <c r="L22" i="15"/>
  <c r="K24" i="13"/>
  <c r="I24" i="13"/>
  <c r="D25" i="13"/>
  <c r="F24" i="3"/>
  <c r="H24" i="3"/>
  <c r="K24" i="3"/>
  <c r="F32" i="6"/>
  <c r="F21" i="19"/>
  <c r="J20" i="16"/>
  <c r="D21" i="16"/>
  <c r="G21" i="18"/>
  <c r="J21" i="18"/>
  <c r="H21" i="18"/>
  <c r="H22" i="15"/>
  <c r="C23" i="15"/>
  <c r="K22" i="15"/>
  <c r="I22" i="15"/>
  <c r="D23" i="15"/>
  <c r="E25" i="13"/>
  <c r="F25" i="13"/>
  <c r="J24" i="3"/>
  <c r="I32" i="6"/>
  <c r="F33" i="6"/>
  <c r="L24" i="3"/>
  <c r="M24" i="3"/>
  <c r="D25" i="3"/>
  <c r="N24" i="3"/>
  <c r="C25" i="3"/>
  <c r="G32" i="6"/>
  <c r="G21" i="19"/>
  <c r="L21" i="19"/>
  <c r="J21" i="19"/>
  <c r="C22" i="18"/>
  <c r="K21" i="18"/>
  <c r="I21" i="18"/>
  <c r="G21" i="16"/>
  <c r="E21" i="16"/>
  <c r="F21" i="16"/>
  <c r="F23" i="15"/>
  <c r="E23" i="15"/>
  <c r="J25" i="13"/>
  <c r="H25" i="13"/>
  <c r="C26" i="13"/>
  <c r="G25" i="13"/>
  <c r="H32" i="6"/>
  <c r="G33" i="6"/>
  <c r="H33" i="6"/>
  <c r="G25" i="3"/>
  <c r="E25" i="3"/>
  <c r="I25" i="3"/>
  <c r="E24" i="2"/>
  <c r="H21" i="19"/>
  <c r="C22" i="19"/>
  <c r="M21" i="19"/>
  <c r="K21" i="19"/>
  <c r="D22" i="18"/>
  <c r="H21" i="16"/>
  <c r="M21" i="16"/>
  <c r="K21" i="16"/>
  <c r="J23" i="15"/>
  <c r="G23" i="15"/>
  <c r="L23" i="15"/>
  <c r="K25" i="13"/>
  <c r="I25" i="13"/>
  <c r="D26" i="13"/>
  <c r="F25" i="3"/>
  <c r="J25" i="3"/>
  <c r="K25" i="3"/>
  <c r="I21" i="19"/>
  <c r="D22" i="19"/>
  <c r="E22" i="19"/>
  <c r="I21" i="16"/>
  <c r="C22" i="16"/>
  <c r="E22" i="18"/>
  <c r="F22" i="18"/>
  <c r="N21" i="16"/>
  <c r="L21" i="16"/>
  <c r="M23" i="15"/>
  <c r="H23" i="15"/>
  <c r="C24" i="15"/>
  <c r="K23" i="15"/>
  <c r="E26" i="13"/>
  <c r="F26" i="13"/>
  <c r="L25" i="3"/>
  <c r="M25" i="3"/>
  <c r="D26" i="3"/>
  <c r="N25" i="3"/>
  <c r="C26" i="3"/>
  <c r="H25" i="3"/>
  <c r="F22" i="19"/>
  <c r="J21" i="16"/>
  <c r="D22" i="16"/>
  <c r="G22" i="18"/>
  <c r="J22" i="18"/>
  <c r="H22" i="18"/>
  <c r="I23" i="15"/>
  <c r="D24" i="15"/>
  <c r="E24" i="15"/>
  <c r="J26" i="13"/>
  <c r="H26" i="13"/>
  <c r="C27" i="13"/>
  <c r="G26" i="13"/>
  <c r="E25" i="2"/>
  <c r="G26" i="3"/>
  <c r="E26" i="3"/>
  <c r="I26" i="3"/>
  <c r="G22" i="19"/>
  <c r="J22" i="19"/>
  <c r="L22" i="19"/>
  <c r="E22" i="16"/>
  <c r="F22" i="16"/>
  <c r="C23" i="18"/>
  <c r="K22" i="18"/>
  <c r="I22" i="18"/>
  <c r="G22" i="16"/>
  <c r="F24" i="15"/>
  <c r="K26" i="13"/>
  <c r="I26" i="13"/>
  <c r="D27" i="13"/>
  <c r="F26" i="3"/>
  <c r="J26" i="3"/>
  <c r="K26" i="3"/>
  <c r="H22" i="19"/>
  <c r="C23" i="19"/>
  <c r="M22" i="19"/>
  <c r="K22" i="19"/>
  <c r="D23" i="18"/>
  <c r="H22" i="16"/>
  <c r="K22" i="16"/>
  <c r="M22" i="16"/>
  <c r="L24" i="15"/>
  <c r="G24" i="15"/>
  <c r="M24" i="15"/>
  <c r="J24" i="15"/>
  <c r="E27" i="13"/>
  <c r="F27" i="13"/>
  <c r="H26" i="3"/>
  <c r="L26" i="3"/>
  <c r="M26" i="3"/>
  <c r="D27" i="3"/>
  <c r="N26" i="3"/>
  <c r="C27" i="3"/>
  <c r="I22" i="19"/>
  <c r="D23" i="19"/>
  <c r="E23" i="19"/>
  <c r="I22" i="16"/>
  <c r="C23" i="16"/>
  <c r="E23" i="18"/>
  <c r="F23" i="18"/>
  <c r="L22" i="16"/>
  <c r="N22" i="16"/>
  <c r="K24" i="15"/>
  <c r="I24" i="15"/>
  <c r="D25" i="15"/>
  <c r="H24" i="15"/>
  <c r="C25" i="15"/>
  <c r="J27" i="13"/>
  <c r="G27" i="13"/>
  <c r="H27" i="13"/>
  <c r="C28" i="13"/>
  <c r="E26" i="2"/>
  <c r="E27" i="3"/>
  <c r="G27" i="3"/>
  <c r="I27" i="3"/>
  <c r="F23" i="19"/>
  <c r="J22" i="16"/>
  <c r="D23" i="16"/>
  <c r="G23" i="18"/>
  <c r="J23" i="18"/>
  <c r="H23" i="18"/>
  <c r="E25" i="15"/>
  <c r="F25" i="15"/>
  <c r="K27" i="13"/>
  <c r="I27" i="13"/>
  <c r="D28" i="13"/>
  <c r="F27" i="3"/>
  <c r="J27" i="3"/>
  <c r="K27" i="3"/>
  <c r="G23" i="19"/>
  <c r="L23" i="19"/>
  <c r="J23" i="19"/>
  <c r="C24" i="18"/>
  <c r="K23" i="18"/>
  <c r="I23" i="18"/>
  <c r="G23" i="16"/>
  <c r="E23" i="16"/>
  <c r="F23" i="16"/>
  <c r="J25" i="15"/>
  <c r="L25" i="15"/>
  <c r="G25" i="15"/>
  <c r="M25" i="15"/>
  <c r="F28" i="13"/>
  <c r="E28" i="13"/>
  <c r="L27" i="3"/>
  <c r="M27" i="3"/>
  <c r="D28" i="3"/>
  <c r="N27" i="3"/>
  <c r="C28" i="3"/>
  <c r="H27" i="3"/>
  <c r="M23" i="19"/>
  <c r="K23" i="19"/>
  <c r="H23" i="19"/>
  <c r="C24" i="19"/>
  <c r="D24" i="18"/>
  <c r="H23" i="16"/>
  <c r="M23" i="16"/>
  <c r="K23" i="16"/>
  <c r="H25" i="15"/>
  <c r="C26" i="15"/>
  <c r="K25" i="15"/>
  <c r="I25" i="15"/>
  <c r="D26" i="15"/>
  <c r="J28" i="13"/>
  <c r="G28" i="13"/>
  <c r="H28" i="13"/>
  <c r="C29" i="13"/>
  <c r="E27" i="2"/>
  <c r="G28" i="3"/>
  <c r="E28" i="3"/>
  <c r="I28" i="3"/>
  <c r="I23" i="19"/>
  <c r="D24" i="19"/>
  <c r="I23" i="16"/>
  <c r="C24" i="16"/>
  <c r="F24" i="18"/>
  <c r="E24" i="18"/>
  <c r="N23" i="16"/>
  <c r="L23" i="16"/>
  <c r="F26" i="15"/>
  <c r="E26" i="15"/>
  <c r="K28" i="13"/>
  <c r="I28" i="13"/>
  <c r="D29" i="13"/>
  <c r="F28" i="3"/>
  <c r="H28" i="3"/>
  <c r="K28" i="3"/>
  <c r="F24" i="19"/>
  <c r="E24" i="19"/>
  <c r="J23" i="16"/>
  <c r="D24" i="16"/>
  <c r="G24" i="18"/>
  <c r="J24" i="18"/>
  <c r="H24" i="18"/>
  <c r="G26" i="15"/>
  <c r="L26" i="15"/>
  <c r="J26" i="15"/>
  <c r="F29" i="13"/>
  <c r="E29" i="13"/>
  <c r="J28" i="3"/>
  <c r="L28" i="3"/>
  <c r="M28" i="3"/>
  <c r="D29" i="3"/>
  <c r="N28" i="3"/>
  <c r="C29" i="3"/>
  <c r="G24" i="19"/>
  <c r="L24" i="19"/>
  <c r="J24" i="19"/>
  <c r="C25" i="18"/>
  <c r="K24" i="18"/>
  <c r="I24" i="18"/>
  <c r="G24" i="16"/>
  <c r="E24" i="16"/>
  <c r="F24" i="16"/>
  <c r="M26" i="15"/>
  <c r="K26" i="15"/>
  <c r="H26" i="15"/>
  <c r="C27" i="15"/>
  <c r="J29" i="13"/>
  <c r="G29" i="13"/>
  <c r="H29" i="13"/>
  <c r="C30" i="13"/>
  <c r="E28" i="2"/>
  <c r="G29" i="3"/>
  <c r="E29" i="3"/>
  <c r="I29" i="3"/>
  <c r="H24" i="19"/>
  <c r="C25" i="19"/>
  <c r="M24" i="19"/>
  <c r="K24" i="19"/>
  <c r="D25" i="18"/>
  <c r="H24" i="16"/>
  <c r="M24" i="16"/>
  <c r="K24" i="16"/>
  <c r="I26" i="15"/>
  <c r="D27" i="15"/>
  <c r="E27" i="15"/>
  <c r="K29" i="13"/>
  <c r="I29" i="13"/>
  <c r="D30" i="13"/>
  <c r="F29" i="3"/>
  <c r="J29" i="3"/>
  <c r="K29" i="3"/>
  <c r="I24" i="19"/>
  <c r="D25" i="19"/>
  <c r="I24" i="16"/>
  <c r="C25" i="16"/>
  <c r="F25" i="18"/>
  <c r="E25" i="18"/>
  <c r="N24" i="16"/>
  <c r="L24" i="16"/>
  <c r="F27" i="15"/>
  <c r="G27" i="15"/>
  <c r="M27" i="15"/>
  <c r="F30" i="13"/>
  <c r="E30" i="13"/>
  <c r="H29" i="3"/>
  <c r="L29" i="3"/>
  <c r="M29" i="3"/>
  <c r="D30" i="3"/>
  <c r="N29" i="3"/>
  <c r="C30" i="3"/>
  <c r="F25" i="19"/>
  <c r="E25" i="19"/>
  <c r="J24" i="16"/>
  <c r="D25" i="16"/>
  <c r="G25" i="18"/>
  <c r="J25" i="18"/>
  <c r="H25" i="18"/>
  <c r="J27" i="15"/>
  <c r="K27" i="15"/>
  <c r="I27" i="15"/>
  <c r="D28" i="15"/>
  <c r="L27" i="15"/>
  <c r="J30" i="13"/>
  <c r="H30" i="13"/>
  <c r="C31" i="13"/>
  <c r="G30" i="13"/>
  <c r="E29" i="2"/>
  <c r="G30" i="3"/>
  <c r="E30" i="3"/>
  <c r="I30" i="3"/>
  <c r="G25" i="19"/>
  <c r="J25" i="19"/>
  <c r="L25" i="19"/>
  <c r="C26" i="18"/>
  <c r="K25" i="18"/>
  <c r="I25" i="18"/>
  <c r="G25" i="16"/>
  <c r="E25" i="16"/>
  <c r="F25" i="16"/>
  <c r="H27" i="15"/>
  <c r="C28" i="15"/>
  <c r="F28" i="15"/>
  <c r="K30" i="13"/>
  <c r="I30" i="13"/>
  <c r="D31" i="13"/>
  <c r="F30" i="3"/>
  <c r="J30" i="3"/>
  <c r="K30" i="3"/>
  <c r="H25" i="19"/>
  <c r="C26" i="19"/>
  <c r="M25" i="19"/>
  <c r="K25" i="19"/>
  <c r="D26" i="18"/>
  <c r="H25" i="16"/>
  <c r="K25" i="16"/>
  <c r="M25" i="16"/>
  <c r="L28" i="15"/>
  <c r="G28" i="15"/>
  <c r="J28" i="15"/>
  <c r="E28" i="15"/>
  <c r="F31" i="13"/>
  <c r="E31" i="13"/>
  <c r="H30" i="3"/>
  <c r="L30" i="3"/>
  <c r="M30" i="3"/>
  <c r="D31" i="3"/>
  <c r="N30" i="3"/>
  <c r="C31" i="3"/>
  <c r="I25" i="19"/>
  <c r="D26" i="19"/>
  <c r="I25" i="16"/>
  <c r="C26" i="16"/>
  <c r="E26" i="18"/>
  <c r="F26" i="18"/>
  <c r="L25" i="16"/>
  <c r="N25" i="16"/>
  <c r="K28" i="15"/>
  <c r="M28" i="15"/>
  <c r="H28" i="15"/>
  <c r="C29" i="15"/>
  <c r="J31" i="13"/>
  <c r="G31" i="13"/>
  <c r="H31" i="13"/>
  <c r="C32" i="13"/>
  <c r="E30" i="2"/>
  <c r="G31" i="3"/>
  <c r="E31" i="3"/>
  <c r="I31" i="3"/>
  <c r="F26" i="19"/>
  <c r="E26" i="19"/>
  <c r="J25" i="16"/>
  <c r="D26" i="16"/>
  <c r="G26" i="18"/>
  <c r="J26" i="18"/>
  <c r="H26" i="18"/>
  <c r="I28" i="15"/>
  <c r="D29" i="15"/>
  <c r="F29" i="15"/>
  <c r="K31" i="13"/>
  <c r="I31" i="13"/>
  <c r="D32" i="13"/>
  <c r="E32" i="13"/>
  <c r="F31" i="3"/>
  <c r="H31" i="3"/>
  <c r="K31" i="3"/>
  <c r="G26" i="19"/>
  <c r="J26" i="19"/>
  <c r="L26" i="19"/>
  <c r="C27" i="18"/>
  <c r="K26" i="18"/>
  <c r="I26" i="18"/>
  <c r="G26" i="16"/>
  <c r="E26" i="16"/>
  <c r="F26" i="16"/>
  <c r="E29" i="15"/>
  <c r="J29" i="15"/>
  <c r="L29" i="15"/>
  <c r="G29" i="15"/>
  <c r="K29" i="15"/>
  <c r="F32" i="13"/>
  <c r="J31" i="3"/>
  <c r="L31" i="3"/>
  <c r="M31" i="3"/>
  <c r="D32" i="3"/>
  <c r="N31" i="3"/>
  <c r="C32" i="3"/>
  <c r="H26" i="19"/>
  <c r="C27" i="19"/>
  <c r="M26" i="19"/>
  <c r="K26" i="19"/>
  <c r="D27" i="18"/>
  <c r="H29" i="15"/>
  <c r="C30" i="15"/>
  <c r="H26" i="16"/>
  <c r="M26" i="16"/>
  <c r="K26" i="16"/>
  <c r="M29" i="15"/>
  <c r="I29" i="15"/>
  <c r="D30" i="15"/>
  <c r="J32" i="13"/>
  <c r="G32" i="13"/>
  <c r="H32" i="13"/>
  <c r="E31" i="2"/>
  <c r="G32" i="3"/>
  <c r="E32" i="3"/>
  <c r="I32" i="3"/>
  <c r="I26" i="19"/>
  <c r="D27" i="19"/>
  <c r="E27" i="19"/>
  <c r="I26" i="16"/>
  <c r="C27" i="16"/>
  <c r="E27" i="18"/>
  <c r="F27" i="18"/>
  <c r="N26" i="16"/>
  <c r="L26" i="16"/>
  <c r="F30" i="15"/>
  <c r="E30" i="15"/>
  <c r="K32" i="13"/>
  <c r="I32" i="13"/>
  <c r="F32" i="3"/>
  <c r="F33" i="3"/>
  <c r="K32" i="3"/>
  <c r="F27" i="19"/>
  <c r="J26" i="16"/>
  <c r="D27" i="16"/>
  <c r="G27" i="18"/>
  <c r="J27" i="18"/>
  <c r="H27" i="18"/>
  <c r="J30" i="15"/>
  <c r="G30" i="15"/>
  <c r="L30" i="15"/>
  <c r="J32" i="3"/>
  <c r="H32" i="3"/>
  <c r="L32" i="3"/>
  <c r="K33" i="3"/>
  <c r="N32" i="3"/>
  <c r="G27" i="19"/>
  <c r="J27" i="19"/>
  <c r="L27" i="19"/>
  <c r="E27" i="16"/>
  <c r="F27" i="16"/>
  <c r="C28" i="18"/>
  <c r="K27" i="18"/>
  <c r="I27" i="18"/>
  <c r="G27" i="16"/>
  <c r="M30" i="15"/>
  <c r="K30" i="15"/>
  <c r="H30" i="15"/>
  <c r="C31" i="15"/>
  <c r="E32" i="2"/>
  <c r="L33" i="3"/>
  <c r="M32" i="3"/>
  <c r="H32" i="2"/>
  <c r="H27" i="19"/>
  <c r="C28" i="19"/>
  <c r="M27" i="19"/>
  <c r="K27" i="19"/>
  <c r="D28" i="18"/>
  <c r="H27" i="16"/>
  <c r="K27" i="16"/>
  <c r="M27" i="16"/>
  <c r="I30" i="15"/>
  <c r="D31" i="15"/>
  <c r="G32" i="2"/>
  <c r="I32" i="2"/>
  <c r="I27" i="19"/>
  <c r="D28" i="19"/>
  <c r="E28" i="19"/>
  <c r="I27" i="16"/>
  <c r="C28" i="16"/>
  <c r="E28" i="18"/>
  <c r="F28" i="18"/>
  <c r="N27" i="16"/>
  <c r="L27" i="16"/>
  <c r="E31" i="15"/>
  <c r="F31" i="15"/>
  <c r="G33" i="2"/>
  <c r="F28" i="19"/>
  <c r="J27" i="16"/>
  <c r="D28" i="16"/>
  <c r="G28" i="18"/>
  <c r="J28" i="18"/>
  <c r="H28" i="18"/>
  <c r="G31" i="15"/>
  <c r="L31" i="15"/>
  <c r="J31" i="15"/>
  <c r="G28" i="19"/>
  <c r="J28" i="19"/>
  <c r="L28" i="19"/>
  <c r="C29" i="18"/>
  <c r="K28" i="18"/>
  <c r="I28" i="18"/>
  <c r="G28" i="16"/>
  <c r="E28" i="16"/>
  <c r="F28" i="16"/>
  <c r="H31" i="15"/>
  <c r="C32" i="15"/>
  <c r="K31" i="15"/>
  <c r="M31" i="15"/>
  <c r="H28" i="19"/>
  <c r="C29" i="19"/>
  <c r="M28" i="19"/>
  <c r="K28" i="19"/>
  <c r="D29" i="18"/>
  <c r="H28" i="16"/>
  <c r="M28" i="16"/>
  <c r="K28" i="16"/>
  <c r="I31" i="15"/>
  <c r="D32" i="15"/>
  <c r="F32" i="15"/>
  <c r="J32" i="15"/>
  <c r="I28" i="19"/>
  <c r="D29" i="19"/>
  <c r="E29" i="19"/>
  <c r="I28" i="16"/>
  <c r="C29" i="16"/>
  <c r="F29" i="18"/>
  <c r="E29" i="18"/>
  <c r="N28" i="16"/>
  <c r="L28" i="16"/>
  <c r="E32" i="15"/>
  <c r="G32" i="15"/>
  <c r="K32" i="15"/>
  <c r="L32" i="15"/>
  <c r="H32" i="15"/>
  <c r="F29" i="19"/>
  <c r="J28" i="16"/>
  <c r="D29" i="16"/>
  <c r="G29" i="18"/>
  <c r="J29" i="18"/>
  <c r="H29" i="18"/>
  <c r="M32" i="15"/>
  <c r="I32" i="15"/>
  <c r="G29" i="19"/>
  <c r="J29" i="19"/>
  <c r="L29" i="19"/>
  <c r="C30" i="18"/>
  <c r="K29" i="18"/>
  <c r="I29" i="18"/>
  <c r="G29" i="16"/>
  <c r="E29" i="16"/>
  <c r="F29" i="16"/>
  <c r="H29" i="19"/>
  <c r="C30" i="19"/>
  <c r="M29" i="19"/>
  <c r="K29" i="19"/>
  <c r="D30" i="18"/>
  <c r="H29" i="16"/>
  <c r="K29" i="16"/>
  <c r="M29" i="16"/>
  <c r="I29" i="19"/>
  <c r="D30" i="19"/>
  <c r="E30" i="19"/>
  <c r="I29" i="16"/>
  <c r="C30" i="16"/>
  <c r="E30" i="18"/>
  <c r="F30" i="18"/>
  <c r="L29" i="16"/>
  <c r="N29" i="16"/>
  <c r="F30" i="19"/>
  <c r="J29" i="16"/>
  <c r="D30" i="16"/>
  <c r="G30" i="18"/>
  <c r="J30" i="18"/>
  <c r="H30" i="18"/>
  <c r="G30" i="19"/>
  <c r="L30" i="19"/>
  <c r="J30" i="19"/>
  <c r="C31" i="18"/>
  <c r="K30" i="18"/>
  <c r="I30" i="18"/>
  <c r="G30" i="16"/>
  <c r="E30" i="16"/>
  <c r="F30" i="16"/>
  <c r="H30" i="19"/>
  <c r="C31" i="19"/>
  <c r="M30" i="19"/>
  <c r="K30" i="19"/>
  <c r="D31" i="18"/>
  <c r="H30" i="16"/>
  <c r="M30" i="16"/>
  <c r="K30" i="16"/>
  <c r="I30" i="19"/>
  <c r="D31" i="19"/>
  <c r="E31" i="19"/>
  <c r="I30" i="16"/>
  <c r="C31" i="16"/>
  <c r="E31" i="18"/>
  <c r="F31" i="18"/>
  <c r="N30" i="16"/>
  <c r="L30" i="16"/>
  <c r="F31" i="19"/>
  <c r="J30" i="16"/>
  <c r="D31" i="16"/>
  <c r="G31" i="18"/>
  <c r="J31" i="18"/>
  <c r="H31" i="18"/>
  <c r="G31" i="19"/>
  <c r="J31" i="19"/>
  <c r="L31" i="19"/>
  <c r="C32" i="18"/>
  <c r="K31" i="18"/>
  <c r="I31" i="18"/>
  <c r="G31" i="16"/>
  <c r="E31" i="16"/>
  <c r="F31" i="16"/>
  <c r="H31" i="19"/>
  <c r="C32" i="19"/>
  <c r="M31" i="19"/>
  <c r="K31" i="19"/>
  <c r="D32" i="18"/>
  <c r="H31" i="16"/>
  <c r="M31" i="16"/>
  <c r="K31" i="16"/>
  <c r="I31" i="19"/>
  <c r="D32" i="19"/>
  <c r="E32" i="19"/>
  <c r="I31" i="16"/>
  <c r="C32" i="16"/>
  <c r="F32" i="18"/>
  <c r="E32" i="18"/>
  <c r="N31" i="16"/>
  <c r="L31" i="16"/>
  <c r="F32" i="19"/>
  <c r="F33" i="19"/>
  <c r="J31" i="16"/>
  <c r="D32" i="16"/>
  <c r="G32" i="18"/>
  <c r="J32" i="18"/>
  <c r="H32" i="18"/>
  <c r="G32" i="19"/>
  <c r="G33" i="19"/>
  <c r="J32" i="19"/>
  <c r="L32" i="19"/>
  <c r="E32" i="16"/>
  <c r="F32" i="16"/>
  <c r="F33" i="16"/>
  <c r="K32" i="18"/>
  <c r="I32" i="18"/>
  <c r="G32" i="16"/>
  <c r="N34" i="19"/>
  <c r="H32" i="19"/>
  <c r="M32" i="19"/>
  <c r="K32" i="19"/>
  <c r="H32" i="16"/>
  <c r="M32" i="16"/>
  <c r="K32" i="16"/>
  <c r="I32" i="19"/>
  <c r="I32" i="16"/>
  <c r="L32" i="16"/>
  <c r="N32" i="16"/>
  <c r="J32" i="16"/>
</calcChain>
</file>

<file path=xl/comments1.xml><?xml version="1.0" encoding="utf-8"?>
<comments xmlns="http://schemas.openxmlformats.org/spreadsheetml/2006/main">
  <authors>
    <author>Rachel Thomas</author>
  </authors>
  <commentList>
    <comment ref="C2" authorId="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5" authorId="0">
      <text>
        <r>
          <rPr>
            <b/>
            <sz val="9"/>
            <color indexed="81"/>
            <rFont val="Tahoma"/>
            <family val="2"/>
          </rPr>
          <t>Rachel Thomas:</t>
        </r>
        <r>
          <rPr>
            <sz val="9"/>
            <color indexed="81"/>
            <rFont val="Tahoma"/>
            <family val="2"/>
          </rPr>
          <t xml:space="preserve">
x values are randomly chosen.  For CNNs, x would be our image data</t>
        </r>
      </text>
    </comment>
    <comment ref="C5" authorId="0">
      <text>
        <r>
          <rPr>
            <b/>
            <sz val="9"/>
            <color indexed="81"/>
            <rFont val="Tahoma"/>
            <family val="2"/>
          </rPr>
          <t>Rachel Thomas:</t>
        </r>
        <r>
          <rPr>
            <sz val="9"/>
            <color indexed="81"/>
            <rFont val="Tahoma"/>
            <family val="2"/>
          </rPr>
          <t xml:space="preserve">
Here we calculate y (using the "true" a and b).  This is the value our model is trying to predict</t>
        </r>
      </text>
    </comment>
  </commentList>
</comments>
</file>

<file path=xl/comments2.xml><?xml version="1.0" encoding="utf-8"?>
<comments xmlns="http://schemas.openxmlformats.org/spreadsheetml/2006/main">
  <authors>
    <author>Jeremy Howard</author>
    <author>Rachel Thomas</author>
  </authors>
  <commentList>
    <comment ref="C1" authorId="0">
      <text>
        <r>
          <rPr>
            <b/>
            <sz val="9"/>
            <color indexed="81"/>
            <rFont val="Tahoma"/>
            <family val="2"/>
          </rPr>
          <t>Jeremy Howard:</t>
        </r>
        <r>
          <rPr>
            <sz val="9"/>
            <color indexed="81"/>
            <rFont val="Tahoma"/>
            <family val="2"/>
          </rPr>
          <t xml:space="preserve">
These are out initlal guesses. In keras they would be randomly generated. We're just picking '1'</t>
        </r>
      </text>
    </comment>
    <comment ref="F1" authorId="0">
      <text>
        <r>
          <rPr>
            <b/>
            <sz val="9"/>
            <color indexed="81"/>
            <rFont val="Tahoma"/>
            <family val="2"/>
          </rPr>
          <t>Jeremy Howard:</t>
        </r>
        <r>
          <rPr>
            <sz val="9"/>
            <color indexed="81"/>
            <rFont val="Tahoma"/>
            <family val="2"/>
          </rPr>
          <t xml:space="preserve">
Our learning rate, which defines how quickly we update our guesses</t>
        </r>
      </text>
    </comment>
    <comment ref="A3" authorId="0">
      <text>
        <r>
          <rPr>
            <b/>
            <sz val="9"/>
            <color indexed="81"/>
            <rFont val="Tahoma"/>
            <family val="2"/>
          </rPr>
          <t>Jeremy Howard:</t>
        </r>
        <r>
          <rPr>
            <sz val="9"/>
            <color indexed="81"/>
            <rFont val="Tahoma"/>
            <family val="2"/>
          </rPr>
          <t xml:space="preserve">
This is the input x &amp; y data. Because it was randomly generated, it won't be the same as in the 'data' sheet</t>
        </r>
      </text>
    </comment>
    <comment ref="H3" authorId="1">
      <text>
        <r>
          <rPr>
            <b/>
            <sz val="9"/>
            <color indexed="81"/>
            <rFont val="Tahoma"/>
            <family val="2"/>
          </rPr>
          <t>Rachel Thomas:</t>
        </r>
        <r>
          <rPr>
            <sz val="9"/>
            <color indexed="81"/>
            <rFont val="Tahoma"/>
            <family val="2"/>
          </rPr>
          <t xml:space="preserve">
calculating numerically
</t>
        </r>
      </text>
    </comment>
    <comment ref="K3" authorId="1">
      <text>
        <r>
          <rPr>
            <b/>
            <sz val="9"/>
            <color indexed="81"/>
            <rFont val="Tahoma"/>
            <family val="2"/>
          </rPr>
          <t>Rachel Thomas:</t>
        </r>
        <r>
          <rPr>
            <sz val="9"/>
            <color indexed="81"/>
            <rFont val="Tahoma"/>
            <family val="2"/>
          </rPr>
          <t xml:space="preserve">
calculated analytically.  Use Wolfram-Alpha to get analytical deriv.  Theano and Tensor Flow calculate analytic derivatives for you</t>
        </r>
      </text>
    </comment>
    <comment ref="C4" authorId="0">
      <text>
        <r>
          <rPr>
            <b/>
            <sz val="9"/>
            <color indexed="81"/>
            <rFont val="Tahoma"/>
            <family val="2"/>
          </rPr>
          <t>Jeremy Howard:</t>
        </r>
        <r>
          <rPr>
            <sz val="9"/>
            <color indexed="81"/>
            <rFont val="Tahoma"/>
            <family val="2"/>
          </rPr>
          <t xml:space="preserve">
This is our guess for the first row of data</t>
        </r>
      </text>
    </comment>
    <comment ref="M4" authorId="0">
      <text>
        <r>
          <rPr>
            <b/>
            <sz val="9"/>
            <color indexed="81"/>
            <rFont val="Tahoma"/>
            <family val="2"/>
          </rPr>
          <t>Jeremy Howard:</t>
        </r>
        <r>
          <rPr>
            <sz val="9"/>
            <color indexed="81"/>
            <rFont val="Tahoma"/>
            <family val="2"/>
          </rPr>
          <t xml:space="preserve">
This is the new guess, which will be copied to columns C &amp; D in the next row</t>
        </r>
      </text>
    </comment>
    <comment ref="C5" authorId="0">
      <text>
        <r>
          <rPr>
            <b/>
            <sz val="9"/>
            <color indexed="81"/>
            <rFont val="Tahoma"/>
            <family val="2"/>
          </rPr>
          <t>Jeremy Howard:</t>
        </r>
        <r>
          <rPr>
            <sz val="9"/>
            <color indexed="81"/>
            <rFont val="Tahoma"/>
            <family val="2"/>
          </rPr>
          <t xml:space="preserve">
On the 2nd row, our guess has been updated slightly</t>
        </r>
      </text>
    </comment>
  </commentList>
</comments>
</file>

<file path=xl/sharedStrings.xml><?xml version="1.0" encoding="utf-8"?>
<sst xmlns="http://schemas.openxmlformats.org/spreadsheetml/2006/main" count="166" uniqueCount="73">
  <si>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</si>
  <si>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</si>
  <si>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</si>
  <si>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</si>
  <si>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</si>
  <si>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</si>
  <si>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</si>
  <si>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</si>
  <si>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</si>
  <si>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</si>
  <si>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</si>
  <si>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</si>
  <si>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</si>
  <si>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</si>
  <si>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</si>
  <si>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</si>
  <si>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</si>
  <si>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</si>
  <si>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</si>
  <si>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</si>
  <si>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</si>
  <si>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</si>
  <si>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</si>
  <si>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</si>
  <si>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</si>
  <si>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</si>
  <si>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</si>
  <si>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</si>
  <si>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</si>
  <si>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</si>
  <si>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</si>
  <si>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</si>
  <si>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</si>
  <si>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</si>
  <si>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</si>
  <si>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</si>
  <si>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</si>
  <si>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</si>
  <si>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</si>
  <si>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</si>
  <si>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</si>
  <si>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</si>
  <si>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</si>
  <si>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</si>
  <si>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</si>
  <si>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</si>
  <si>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</si>
  <si>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</si>
  <si>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</si>
  <si>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</si>
  <si>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</si>
  <si>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</si>
  <si>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</si>
  <si>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</si>
  <si>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</si>
  <si>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</si>
  <si>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</si>
  <si>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</si>
  <si>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</si>
  <si>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</si>
  <si>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</si>
  <si>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</si>
  <si>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</si>
  <si>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</si>
  <si>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</si>
  <si>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</si>
  <si>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</si>
  <si>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</si>
  <si>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</si>
  <si>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</si>
  <si>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</si>
  <si>
    <t>value from the last epoch's last batch</t>
  </si>
  <si>
    <t>the momemtum para needs to be decided by us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</si>
</sst>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9"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9"/>
      <color indexed="81"/>
      <name val="Tahoma"/>
      <family val="2"/>
    </font>
    <font>
      <b/>
      <sz val="9"/>
      <color indexed="81"/>
      <name val="Tahoma"/>
      <family val="2"/>
    </font>
  </fonts>
  <fills count="2">
    <fill>
      <patternFill patternType="none"/>
    </fill>
    <fill>
      <patternFill patternType="gray125"/>
    </fill>
  </fills>
  <borders count="9">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s>
  <cellStyleXfs count="1">
    <xf numFmtId="0" fontId="0" fillId="0" borderId="0"/>
  </cellStyleXfs>
  <cellXfs count="27">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SG"/>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numCache>
            </c:numRef>
          </c:val>
          <c:smooth val="0"/>
          <c:extLst xmlns:c16r2="http://schemas.microsoft.com/office/drawing/2015/06/char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2028425072"/>
        <c:axId val="-2023261344"/>
      </c:lineChart>
      <c:catAx>
        <c:axId val="-20284250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3261344"/>
        <c:crosses val="autoZero"/>
        <c:auto val="1"/>
        <c:lblAlgn val="ctr"/>
        <c:lblOffset val="100"/>
        <c:noMultiLvlLbl val="0"/>
      </c:catAx>
      <c:valAx>
        <c:axId val="-2023261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425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xmlns=""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1</xdr:row>
          <xdr:rowOff>215900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xmlns=""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xmlns=""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xmlns=""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xmlns=""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xmlns=""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xmlns=""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xmlns=""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xmlns=""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xmlns=""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xmlns="" id="{00000000-0008-0000-07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xmlns=""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a16="http://schemas.microsoft.com/office/drawing/2014/main" xmlns=""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xmlns=""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xmlns="" id="{00000000-0008-0000-09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omments" Target="../comments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5.xml"/><Relationship Id="rId5" Type="http://schemas.openxmlformats.org/officeDocument/2006/relationships/ctrlProp" Target="../ctrlProps/ctrlProp6.xml"/><Relationship Id="rId1" Type="http://schemas.openxmlformats.org/officeDocument/2006/relationships/printerSettings" Target="../printerSettings/printerSettings2.bin"/><Relationship Id="rId2"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4" Type="http://schemas.openxmlformats.org/officeDocument/2006/relationships/ctrlProp" Target="../ctrlProps/ctrlProp10.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4" Type="http://schemas.openxmlformats.org/officeDocument/2006/relationships/ctrlProp" Target="../ctrlProps/ctrlProp12.xml"/><Relationship Id="rId1" Type="http://schemas.openxmlformats.org/officeDocument/2006/relationships/drawing" Target="../drawings/drawing6.xml"/><Relationship Id="rId2"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4" Type="http://schemas.openxmlformats.org/officeDocument/2006/relationships/ctrlProp" Target="../ctrlProps/ctrlProp14.xml"/><Relationship Id="rId1" Type="http://schemas.openxmlformats.org/officeDocument/2006/relationships/drawing" Target="../drawings/drawing7.xml"/><Relationship Id="rId2"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4" Type="http://schemas.openxmlformats.org/officeDocument/2006/relationships/ctrlProp" Target="../ctrlProps/ctrlProp16.xml"/><Relationship Id="rId1" Type="http://schemas.openxmlformats.org/officeDocument/2006/relationships/drawing" Target="../drawings/drawing8.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5"/>
  <sheetViews>
    <sheetView workbookViewId="0">
      <selection activeCell="A37" sqref="A37"/>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1" x14ac:dyDescent="0.25">
      <c r="A1" s="13" t="s">
        <v>31</v>
      </c>
    </row>
    <row r="2" spans="1:1" x14ac:dyDescent="0.25">
      <c r="A2" s="14" t="s">
        <v>33</v>
      </c>
    </row>
    <row r="3" spans="1:1" x14ac:dyDescent="0.25">
      <c r="A3" s="14" t="s">
        <v>32</v>
      </c>
    </row>
    <row r="5" spans="1:1" x14ac:dyDescent="0.25">
      <c r="A5" s="16" t="s">
        <v>55</v>
      </c>
    </row>
    <row r="6" spans="1:1" x14ac:dyDescent="0.25">
      <c r="A6" s="17" t="s">
        <v>56</v>
      </c>
    </row>
    <row r="7" spans="1:1" x14ac:dyDescent="0.25">
      <c r="A7" s="13"/>
    </row>
    <row r="8" spans="1:1" x14ac:dyDescent="0.25">
      <c r="A8" s="13" t="s">
        <v>51</v>
      </c>
    </row>
    <row r="9" spans="1:1" x14ac:dyDescent="0.25">
      <c r="A9" s="14" t="s">
        <v>53</v>
      </c>
    </row>
    <row r="10" spans="1:1" x14ac:dyDescent="0.25">
      <c r="A10" s="14" t="s">
        <v>54</v>
      </c>
    </row>
    <row r="11" spans="1:1" x14ac:dyDescent="0.25">
      <c r="A11" s="14" t="s">
        <v>52</v>
      </c>
    </row>
    <row r="12" spans="1:1" x14ac:dyDescent="0.25">
      <c r="A12" s="13"/>
    </row>
    <row r="13" spans="1:1" x14ac:dyDescent="0.25">
      <c r="A13" s="14" t="s">
        <v>57</v>
      </c>
    </row>
    <row r="14" spans="1:1" x14ac:dyDescent="0.25">
      <c r="A14" s="14" t="s">
        <v>58</v>
      </c>
    </row>
    <row r="15" spans="1:1" x14ac:dyDescent="0.25">
      <c r="A15" s="13"/>
    </row>
    <row r="16" spans="1:1" ht="20" thickBot="1" x14ac:dyDescent="0.3">
      <c r="A16" s="13" t="s">
        <v>42</v>
      </c>
    </row>
    <row r="17" spans="1:2" ht="38" x14ac:dyDescent="0.25">
      <c r="A17" s="18" t="s">
        <v>34</v>
      </c>
      <c r="B17" s="19" t="s">
        <v>61</v>
      </c>
    </row>
    <row r="18" spans="1:2" ht="38" x14ac:dyDescent="0.25">
      <c r="A18" s="20"/>
      <c r="B18" s="21" t="s">
        <v>35</v>
      </c>
    </row>
    <row r="19" spans="1:2" ht="20" thickBot="1" x14ac:dyDescent="0.3">
      <c r="A19" s="22"/>
      <c r="B19" s="23" t="s">
        <v>62</v>
      </c>
    </row>
    <row r="20" spans="1:2" ht="38" x14ac:dyDescent="0.25">
      <c r="A20" s="18" t="s">
        <v>36</v>
      </c>
      <c r="B20" s="19" t="s">
        <v>63</v>
      </c>
    </row>
    <row r="21" spans="1:2" ht="39" thickBot="1" x14ac:dyDescent="0.3">
      <c r="A21" s="22"/>
      <c r="B21" s="23" t="s">
        <v>38</v>
      </c>
    </row>
    <row r="22" spans="1:2" x14ac:dyDescent="0.25">
      <c r="A22" s="18" t="s">
        <v>39</v>
      </c>
      <c r="B22" s="19" t="s">
        <v>64</v>
      </c>
    </row>
    <row r="23" spans="1:2" ht="20" thickBot="1" x14ac:dyDescent="0.3">
      <c r="A23" s="24"/>
      <c r="B23" s="23" t="s">
        <v>65</v>
      </c>
    </row>
    <row r="24" spans="1:2" ht="20" thickBot="1" x14ac:dyDescent="0.3">
      <c r="A24" s="25" t="s">
        <v>40</v>
      </c>
      <c r="B24" s="26" t="s">
        <v>66</v>
      </c>
    </row>
    <row r="25" spans="1:2" ht="20" thickBot="1" x14ac:dyDescent="0.3">
      <c r="A25" s="25" t="s">
        <v>41</v>
      </c>
      <c r="B25" s="26" t="s">
        <v>67</v>
      </c>
    </row>
    <row r="26" spans="1:2" ht="20" thickBot="1" x14ac:dyDescent="0.3">
      <c r="A26" s="25" t="s">
        <v>43</v>
      </c>
      <c r="B26" s="26" t="s">
        <v>44</v>
      </c>
    </row>
    <row r="27" spans="1:2" ht="20" thickBot="1" x14ac:dyDescent="0.3">
      <c r="A27" s="25" t="s">
        <v>45</v>
      </c>
      <c r="B27" s="26" t="s">
        <v>68</v>
      </c>
    </row>
    <row r="28" spans="1:2" ht="20" thickBot="1" x14ac:dyDescent="0.3">
      <c r="A28" s="25" t="s">
        <v>46</v>
      </c>
      <c r="B28" s="26" t="s">
        <v>47</v>
      </c>
    </row>
    <row r="29" spans="1:2" ht="20" thickBot="1" x14ac:dyDescent="0.3">
      <c r="A29" s="25" t="s">
        <v>48</v>
      </c>
      <c r="B29" s="26" t="s">
        <v>49</v>
      </c>
    </row>
    <row r="30" spans="1:2" x14ac:dyDescent="0.25">
      <c r="A30" s="13"/>
    </row>
    <row r="31" spans="1:2" x14ac:dyDescent="0.25">
      <c r="A31" s="13"/>
      <c r="B31" s="15" t="s">
        <v>69</v>
      </c>
    </row>
    <row r="32" spans="1:2" x14ac:dyDescent="0.25">
      <c r="A32" s="13"/>
      <c r="B32" s="15" t="s">
        <v>70</v>
      </c>
    </row>
    <row r="34" spans="1:1" x14ac:dyDescent="0.25">
      <c r="A34" s="13" t="s">
        <v>59</v>
      </c>
    </row>
    <row r="35" spans="1:1" x14ac:dyDescent="0.25">
      <c r="A35" s="13" t="s">
        <v>60</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 enableFormatConditionsCalculation="0"/>
  <dimension ref="A1:C34"/>
  <sheetViews>
    <sheetView zoomScale="130" zoomScaleNormal="130" zoomScalePageLayoutView="130" workbookViewId="0">
      <selection activeCell="B32" sqref="B32"/>
    </sheetView>
  </sheetViews>
  <sheetFormatPr baseColWidth="10" defaultColWidth="8.83203125" defaultRowHeight="15" x14ac:dyDescent="0.2"/>
  <sheetData>
    <row r="1" spans="1:3" x14ac:dyDescent="0.2">
      <c r="A1" t="s">
        <v>50</v>
      </c>
    </row>
    <row r="2" spans="1:3" x14ac:dyDescent="0.2">
      <c r="A2" t="s">
        <v>21</v>
      </c>
      <c r="B2" t="s">
        <v>23</v>
      </c>
      <c r="C2">
        <v>30</v>
      </c>
    </row>
    <row r="3" spans="1:3" x14ac:dyDescent="0.2">
      <c r="A3" t="s">
        <v>22</v>
      </c>
      <c r="B3" t="s">
        <v>0</v>
      </c>
      <c r="C3">
        <v>2</v>
      </c>
    </row>
    <row r="5" spans="1:3" x14ac:dyDescent="0.2">
      <c r="B5" t="s">
        <v>15</v>
      </c>
      <c r="C5" t="s">
        <v>37</v>
      </c>
    </row>
    <row r="6" spans="1:3" x14ac:dyDescent="0.2">
      <c r="B6">
        <f t="shared" ref="B6:B34" ca="1" si="0">RANDBETWEEN(1,100)</f>
        <v>96</v>
      </c>
      <c r="C6">
        <f ca="1">$C$2+B6*$C$3</f>
        <v>222</v>
      </c>
    </row>
    <row r="7" spans="1:3" x14ac:dyDescent="0.2">
      <c r="B7">
        <f t="shared" ca="1" si="0"/>
        <v>15</v>
      </c>
      <c r="C7">
        <f t="shared" ref="C7:C34" ca="1" si="1">$C$2+B7*$C$3</f>
        <v>60</v>
      </c>
    </row>
    <row r="8" spans="1:3" x14ac:dyDescent="0.2">
      <c r="B8">
        <f t="shared" ca="1" si="0"/>
        <v>25</v>
      </c>
      <c r="C8">
        <f t="shared" ca="1" si="1"/>
        <v>80</v>
      </c>
    </row>
    <row r="9" spans="1:3" x14ac:dyDescent="0.2">
      <c r="B9">
        <f t="shared" ca="1" si="0"/>
        <v>33</v>
      </c>
      <c r="C9">
        <f t="shared" ca="1" si="1"/>
        <v>96</v>
      </c>
    </row>
    <row r="10" spans="1:3" x14ac:dyDescent="0.2">
      <c r="B10">
        <f t="shared" ca="1" si="0"/>
        <v>99</v>
      </c>
      <c r="C10">
        <f t="shared" ca="1" si="1"/>
        <v>228</v>
      </c>
    </row>
    <row r="11" spans="1:3" x14ac:dyDescent="0.2">
      <c r="B11">
        <f t="shared" ca="1" si="0"/>
        <v>86</v>
      </c>
      <c r="C11">
        <f t="shared" ca="1" si="1"/>
        <v>202</v>
      </c>
    </row>
    <row r="12" spans="1:3" x14ac:dyDescent="0.2">
      <c r="B12">
        <f t="shared" ca="1" si="0"/>
        <v>75</v>
      </c>
      <c r="C12">
        <f t="shared" ca="1" si="1"/>
        <v>180</v>
      </c>
    </row>
    <row r="13" spans="1:3" x14ac:dyDescent="0.2">
      <c r="B13">
        <f t="shared" ca="1" si="0"/>
        <v>88</v>
      </c>
      <c r="C13">
        <f t="shared" ca="1" si="1"/>
        <v>206</v>
      </c>
    </row>
    <row r="14" spans="1:3" x14ac:dyDescent="0.2">
      <c r="B14">
        <f t="shared" ca="1" si="0"/>
        <v>85</v>
      </c>
      <c r="C14">
        <f t="shared" ca="1" si="1"/>
        <v>200</v>
      </c>
    </row>
    <row r="15" spans="1:3" x14ac:dyDescent="0.2">
      <c r="B15">
        <f t="shared" ca="1" si="0"/>
        <v>20</v>
      </c>
      <c r="C15">
        <f t="shared" ca="1" si="1"/>
        <v>70</v>
      </c>
    </row>
    <row r="16" spans="1:3" x14ac:dyDescent="0.2">
      <c r="B16">
        <f t="shared" ca="1" si="0"/>
        <v>79</v>
      </c>
      <c r="C16">
        <f t="shared" ca="1" si="1"/>
        <v>188</v>
      </c>
    </row>
    <row r="17" spans="2:3" x14ac:dyDescent="0.2">
      <c r="B17">
        <f t="shared" ca="1" si="0"/>
        <v>47</v>
      </c>
      <c r="C17">
        <f t="shared" ca="1" si="1"/>
        <v>124</v>
      </c>
    </row>
    <row r="18" spans="2:3" x14ac:dyDescent="0.2">
      <c r="B18">
        <f t="shared" ca="1" si="0"/>
        <v>93</v>
      </c>
      <c r="C18">
        <f t="shared" ca="1" si="1"/>
        <v>216</v>
      </c>
    </row>
    <row r="19" spans="2:3" x14ac:dyDescent="0.2">
      <c r="B19">
        <f t="shared" ca="1" si="0"/>
        <v>70</v>
      </c>
      <c r="C19">
        <f t="shared" ca="1" si="1"/>
        <v>170</v>
      </c>
    </row>
    <row r="20" spans="2:3" x14ac:dyDescent="0.2">
      <c r="B20">
        <f t="shared" ca="1" si="0"/>
        <v>69</v>
      </c>
      <c r="C20">
        <f t="shared" ca="1" si="1"/>
        <v>168</v>
      </c>
    </row>
    <row r="21" spans="2:3" x14ac:dyDescent="0.2">
      <c r="B21">
        <f t="shared" ca="1" si="0"/>
        <v>100</v>
      </c>
      <c r="C21">
        <f t="shared" ca="1" si="1"/>
        <v>230</v>
      </c>
    </row>
    <row r="22" spans="2:3" x14ac:dyDescent="0.2">
      <c r="B22">
        <f t="shared" ca="1" si="0"/>
        <v>14</v>
      </c>
      <c r="C22">
        <f t="shared" ca="1" si="1"/>
        <v>58</v>
      </c>
    </row>
    <row r="23" spans="2:3" x14ac:dyDescent="0.2">
      <c r="B23">
        <f t="shared" ca="1" si="0"/>
        <v>54</v>
      </c>
      <c r="C23">
        <f t="shared" ca="1" si="1"/>
        <v>138</v>
      </c>
    </row>
    <row r="24" spans="2:3" x14ac:dyDescent="0.2">
      <c r="B24">
        <f t="shared" ca="1" si="0"/>
        <v>51</v>
      </c>
      <c r="C24">
        <f t="shared" ca="1" si="1"/>
        <v>132</v>
      </c>
    </row>
    <row r="25" spans="2:3" x14ac:dyDescent="0.2">
      <c r="B25">
        <f t="shared" ca="1" si="0"/>
        <v>91</v>
      </c>
      <c r="C25">
        <f t="shared" ca="1" si="1"/>
        <v>212</v>
      </c>
    </row>
    <row r="26" spans="2:3" x14ac:dyDescent="0.2">
      <c r="B26">
        <f t="shared" ca="1" si="0"/>
        <v>93</v>
      </c>
      <c r="C26">
        <f t="shared" ca="1" si="1"/>
        <v>216</v>
      </c>
    </row>
    <row r="27" spans="2:3" x14ac:dyDescent="0.2">
      <c r="B27">
        <f t="shared" ca="1" si="0"/>
        <v>59</v>
      </c>
      <c r="C27">
        <f t="shared" ca="1" si="1"/>
        <v>148</v>
      </c>
    </row>
    <row r="28" spans="2:3" x14ac:dyDescent="0.2">
      <c r="B28">
        <f t="shared" ca="1" si="0"/>
        <v>92</v>
      </c>
      <c r="C28">
        <f t="shared" ca="1" si="1"/>
        <v>214</v>
      </c>
    </row>
    <row r="29" spans="2:3" x14ac:dyDescent="0.2">
      <c r="B29">
        <f t="shared" ca="1" si="0"/>
        <v>82</v>
      </c>
      <c r="C29">
        <f t="shared" ca="1" si="1"/>
        <v>194</v>
      </c>
    </row>
    <row r="30" spans="2:3" x14ac:dyDescent="0.2">
      <c r="B30">
        <f t="shared" ca="1" si="0"/>
        <v>10</v>
      </c>
      <c r="C30">
        <f t="shared" ca="1" si="1"/>
        <v>50</v>
      </c>
    </row>
    <row r="31" spans="2:3" x14ac:dyDescent="0.2">
      <c r="B31">
        <f t="shared" ca="1" si="0"/>
        <v>42</v>
      </c>
      <c r="C31">
        <f t="shared" ca="1" si="1"/>
        <v>114</v>
      </c>
    </row>
    <row r="32" spans="2:3" x14ac:dyDescent="0.2">
      <c r="B32">
        <f t="shared" ca="1" si="0"/>
        <v>32</v>
      </c>
      <c r="C32">
        <f t="shared" ca="1" si="1"/>
        <v>94</v>
      </c>
    </row>
    <row r="33" spans="2:3" x14ac:dyDescent="0.2">
      <c r="B33">
        <f t="shared" ca="1" si="0"/>
        <v>54</v>
      </c>
      <c r="C33">
        <f t="shared" ca="1" si="1"/>
        <v>138</v>
      </c>
    </row>
    <row r="34" spans="2:3" x14ac:dyDescent="0.2">
      <c r="B34">
        <f t="shared" ca="1" si="0"/>
        <v>41</v>
      </c>
      <c r="C34">
        <f t="shared" ca="1" si="1"/>
        <v>112</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asic" enableFormatConditionsCalculation="0"/>
  <dimension ref="A1:N37"/>
  <sheetViews>
    <sheetView zoomScale="130" zoomScaleNormal="130" zoomScalePageLayoutView="130" workbookViewId="0">
      <pane ySplit="3" topLeftCell="A4" activePane="bottomLeft" state="frozen"/>
      <selection pane="bottomLeft" activeCell="M32" sqref="M32"/>
    </sheetView>
  </sheetViews>
  <sheetFormatPr baseColWidth="10" defaultColWidth="8.83203125" defaultRowHeight="15" x14ac:dyDescent="0.2"/>
  <cols>
    <col min="1" max="1" width="7" customWidth="1"/>
    <col min="2" max="2" width="7.83203125" bestFit="1" customWidth="1"/>
    <col min="3" max="3" width="8.832031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v>
      </c>
      <c r="E1" t="s">
        <v>14</v>
      </c>
      <c r="F1">
        <v>1E-4</v>
      </c>
      <c r="L1" t="s">
        <v>4</v>
      </c>
    </row>
    <row r="2" spans="1:14" ht="17.5" customHeight="1" x14ac:dyDescent="0.2">
      <c r="B2" t="s">
        <v>0</v>
      </c>
      <c r="C2">
        <v>1</v>
      </c>
      <c r="H2" t="s">
        <v>3</v>
      </c>
      <c r="K2" t="s">
        <v>5</v>
      </c>
    </row>
    <row r="3" spans="1:14" s="2" customFormat="1" x14ac:dyDescent="0.2">
      <c r="A3" s="2" t="s">
        <v>15</v>
      </c>
      <c r="B3" s="2" t="s">
        <v>16</v>
      </c>
      <c r="C3" s="2" t="s">
        <v>19</v>
      </c>
      <c r="D3" s="2" t="s">
        <v>0</v>
      </c>
      <c r="E3" s="2" t="s">
        <v>17</v>
      </c>
      <c r="F3" s="2" t="s">
        <v>1</v>
      </c>
      <c r="G3" s="2" t="s">
        <v>7</v>
      </c>
      <c r="H3" s="2" t="s">
        <v>10</v>
      </c>
      <c r="I3" s="2" t="s">
        <v>8</v>
      </c>
      <c r="J3" s="2" t="s">
        <v>11</v>
      </c>
      <c r="K3" s="2" t="s">
        <v>6</v>
      </c>
      <c r="L3" s="2" t="s">
        <v>9</v>
      </c>
      <c r="M3" s="2" t="s">
        <v>12</v>
      </c>
      <c r="N3" s="2" t="s">
        <v>13</v>
      </c>
    </row>
    <row r="4" spans="1:14" x14ac:dyDescent="0.2">
      <c r="A4">
        <v>14</v>
      </c>
      <c r="B4">
        <v>58</v>
      </c>
      <c r="C4">
        <f>C1</f>
        <v>1</v>
      </c>
      <c r="D4">
        <f>C2</f>
        <v>1</v>
      </c>
      <c r="E4">
        <f>C4+D4*A4</f>
        <v>15</v>
      </c>
      <c r="F4" s="1">
        <f>(B4-E4)^2</f>
        <v>1849</v>
      </c>
      <c r="G4" s="3">
        <f>(((C4+0.01)+A4*D4)-B4)^2</f>
        <v>1848.1401000000001</v>
      </c>
      <c r="H4" s="3">
        <f>(G4-F4)/0.01</f>
        <v>-85.989999999992506</v>
      </c>
      <c r="I4" s="3">
        <f>(((D4+0.01)*A4+C4)-B4)^2</f>
        <v>1836.9795999999999</v>
      </c>
      <c r="J4" s="3">
        <f>(I4-F4)/0.01</f>
        <v>-1202.0400000000109</v>
      </c>
      <c r="K4" s="3">
        <f>2*(E4-B4)</f>
        <v>-86</v>
      </c>
      <c r="L4" s="3">
        <f>K4*A4</f>
        <v>-1204</v>
      </c>
      <c r="M4" s="3">
        <f>D4-L4*$F$1</f>
        <v>1.1204000000000001</v>
      </c>
      <c r="N4" s="3">
        <f>C4-K4*$F$1</f>
        <v>1.0085999999999999</v>
      </c>
    </row>
    <row r="5" spans="1:14" x14ac:dyDescent="0.2">
      <c r="A5">
        <v>86</v>
      </c>
      <c r="B5">
        <v>202</v>
      </c>
      <c r="C5">
        <f>N4</f>
        <v>1.0085999999999999</v>
      </c>
      <c r="D5">
        <f>M4</f>
        <v>1.1204000000000001</v>
      </c>
      <c r="E5">
        <f>C5+D5*A5</f>
        <v>97.363</v>
      </c>
      <c r="F5" s="1">
        <f>(B5-E5)^2</f>
        <v>10948.901769</v>
      </c>
      <c r="G5" s="3">
        <f>(((C5+0.01)+A5*D5)-B5)^2</f>
        <v>10946.809128999999</v>
      </c>
      <c r="H5" s="3">
        <f>(G5-F5)/0.01</f>
        <v>-209.26400000007561</v>
      </c>
      <c r="I5" s="3">
        <f>(((D5+0.01)*A5+C5)-B5)^2</f>
        <v>10769.665728999997</v>
      </c>
      <c r="J5" s="3">
        <f>(I5-F5)/0.01</f>
        <v>-17923.604000000341</v>
      </c>
      <c r="K5" s="3">
        <f t="shared" ref="K5:K32" si="0">2*(E5-B5)</f>
        <v>-209.274</v>
      </c>
      <c r="L5" s="3">
        <f>K5*A5</f>
        <v>-17997.563999999998</v>
      </c>
      <c r="M5" s="3">
        <f t="shared" ref="M5:M32" si="1">D5-L5*$F$1</f>
        <v>2.9201563999999998</v>
      </c>
      <c r="N5" s="3">
        <f t="shared" ref="N5:N32" si="2">C5-K5*$F$1</f>
        <v>1.0295273999999999</v>
      </c>
    </row>
    <row r="6" spans="1:14" x14ac:dyDescent="0.2">
      <c r="A6">
        <v>28</v>
      </c>
      <c r="B6">
        <v>86</v>
      </c>
      <c r="C6">
        <f>N5</f>
        <v>1.0295273999999999</v>
      </c>
      <c r="D6">
        <f>M5</f>
        <v>2.9201563999999998</v>
      </c>
      <c r="E6">
        <f>C6+D6*A6</f>
        <v>82.7939066</v>
      </c>
      <c r="F6" s="1">
        <f t="shared" ref="F6:F32" si="3">(B6-E6)^2</f>
        <v>10.279034889523562</v>
      </c>
      <c r="G6" s="3">
        <f t="shared" ref="G6:G32" si="4">(((C6+0.01)+A6*D6)-B6)^2</f>
        <v>10.215013021523621</v>
      </c>
      <c r="H6" s="3">
        <f t="shared" ref="H6:H32" si="5">(G6-F6)/0.01</f>
        <v>-6.4021867999940696</v>
      </c>
      <c r="I6" s="3">
        <f t="shared" ref="I6:I32" si="6">(((D6+0.01)*A6+C6)-B6)^2</f>
        <v>8.5620225855236392</v>
      </c>
      <c r="J6" s="3">
        <f t="shared" ref="J6:J32" si="7">(I6-F6)/0.01</f>
        <v>-171.70123039999226</v>
      </c>
      <c r="K6" s="3">
        <f t="shared" si="0"/>
        <v>-6.4121868000000006</v>
      </c>
      <c r="L6" s="3">
        <f t="shared" ref="L6:L32" si="8">K6*A6</f>
        <v>-179.54123040000002</v>
      </c>
      <c r="M6" s="3">
        <f t="shared" si="1"/>
        <v>2.9381105230399998</v>
      </c>
      <c r="N6" s="3">
        <f t="shared" si="2"/>
        <v>1.0301686186799999</v>
      </c>
    </row>
    <row r="7" spans="1:14" x14ac:dyDescent="0.2">
      <c r="A7">
        <v>51</v>
      </c>
      <c r="B7">
        <v>132</v>
      </c>
      <c r="C7">
        <f t="shared" ref="C7:C32" si="9">N6</f>
        <v>1.0301686186799999</v>
      </c>
      <c r="D7">
        <f t="shared" ref="D7:D32" si="10">M6</f>
        <v>2.9381105230399998</v>
      </c>
      <c r="E7">
        <f t="shared" ref="E7:E32" si="11">C7+D7*A7</f>
        <v>150.87380529371998</v>
      </c>
      <c r="F7" s="1">
        <f t="shared" si="3"/>
        <v>356.22052626525243</v>
      </c>
      <c r="G7" s="3">
        <f t="shared" si="4"/>
        <v>356.59810237112754</v>
      </c>
      <c r="H7" s="3">
        <f t="shared" si="5"/>
        <v>37.757610587510726</v>
      </c>
      <c r="I7" s="3">
        <f t="shared" si="6"/>
        <v>375.73190766484646</v>
      </c>
      <c r="J7" s="3">
        <f t="shared" si="7"/>
        <v>1951.1381399594029</v>
      </c>
      <c r="K7" s="3">
        <f t="shared" si="0"/>
        <v>37.747610587439965</v>
      </c>
      <c r="L7" s="3">
        <f t="shared" si="8"/>
        <v>1925.1281399594382</v>
      </c>
      <c r="M7" s="3">
        <f t="shared" si="1"/>
        <v>2.745597709044056</v>
      </c>
      <c r="N7" s="3">
        <f t="shared" si="2"/>
        <v>1.0263938576212559</v>
      </c>
    </row>
    <row r="8" spans="1:14" x14ac:dyDescent="0.2">
      <c r="A8">
        <v>28</v>
      </c>
      <c r="B8">
        <v>86</v>
      </c>
      <c r="C8">
        <f t="shared" si="9"/>
        <v>1.0263938576212559</v>
      </c>
      <c r="D8">
        <f t="shared" si="10"/>
        <v>2.745597709044056</v>
      </c>
      <c r="E8">
        <f t="shared" si="11"/>
        <v>77.903129710854827</v>
      </c>
      <c r="F8" s="1">
        <f t="shared" si="3"/>
        <v>65.559308479241835</v>
      </c>
      <c r="G8" s="3">
        <f t="shared" si="4"/>
        <v>65.397471073459073</v>
      </c>
      <c r="H8" s="3">
        <f t="shared" si="5"/>
        <v>-16.183740578276229</v>
      </c>
      <c r="I8" s="3">
        <f t="shared" si="6"/>
        <v>61.103461117320741</v>
      </c>
      <c r="J8" s="3">
        <f t="shared" si="7"/>
        <v>-445.5847361921094</v>
      </c>
      <c r="K8" s="3">
        <f t="shared" si="0"/>
        <v>-16.193740578290345</v>
      </c>
      <c r="L8" s="3">
        <f t="shared" si="8"/>
        <v>-453.42473619212967</v>
      </c>
      <c r="M8" s="3">
        <f t="shared" si="1"/>
        <v>2.7909401826632689</v>
      </c>
      <c r="N8" s="3">
        <f t="shared" si="2"/>
        <v>1.0280132316790849</v>
      </c>
    </row>
    <row r="9" spans="1:14" x14ac:dyDescent="0.2">
      <c r="A9">
        <v>29</v>
      </c>
      <c r="B9">
        <v>88</v>
      </c>
      <c r="C9">
        <f t="shared" si="9"/>
        <v>1.0280132316790849</v>
      </c>
      <c r="D9">
        <f t="shared" si="10"/>
        <v>2.7909401826632689</v>
      </c>
      <c r="E9">
        <f t="shared" si="11"/>
        <v>81.965278528913885</v>
      </c>
      <c r="F9" s="1">
        <f t="shared" si="3"/>
        <v>36.417863233587767</v>
      </c>
      <c r="G9" s="3">
        <f t="shared" si="4"/>
        <v>36.297268804165981</v>
      </c>
      <c r="H9" s="3">
        <f t="shared" si="5"/>
        <v>-12.059442942178578</v>
      </c>
      <c r="I9" s="3">
        <f t="shared" si="6"/>
        <v>33.001824780357914</v>
      </c>
      <c r="J9" s="3">
        <f t="shared" si="7"/>
        <v>-341.60384532298519</v>
      </c>
      <c r="K9" s="3">
        <f t="shared" si="0"/>
        <v>-12.06944294217223</v>
      </c>
      <c r="L9" s="3">
        <f t="shared" si="8"/>
        <v>-350.01384532299471</v>
      </c>
      <c r="M9" s="3">
        <f t="shared" si="1"/>
        <v>2.8259415671955685</v>
      </c>
      <c r="N9" s="3">
        <f t="shared" si="2"/>
        <v>1.0292201759733022</v>
      </c>
    </row>
    <row r="10" spans="1:14" x14ac:dyDescent="0.2">
      <c r="A10">
        <v>72</v>
      </c>
      <c r="B10">
        <v>174</v>
      </c>
      <c r="C10">
        <f t="shared" si="9"/>
        <v>1.0292201759733022</v>
      </c>
      <c r="D10">
        <f t="shared" si="10"/>
        <v>2.8259415671955685</v>
      </c>
      <c r="E10">
        <f t="shared" si="11"/>
        <v>204.49701301405423</v>
      </c>
      <c r="F10" s="1">
        <f t="shared" si="3"/>
        <v>930.06780277939322</v>
      </c>
      <c r="G10" s="3">
        <f t="shared" si="4"/>
        <v>930.67784303967369</v>
      </c>
      <c r="H10" s="3">
        <f t="shared" si="5"/>
        <v>61.004026028047065</v>
      </c>
      <c r="I10" s="3">
        <f t="shared" si="6"/>
        <v>974.50190151963125</v>
      </c>
      <c r="J10" s="3">
        <f t="shared" si="7"/>
        <v>4443.4098740238023</v>
      </c>
      <c r="K10" s="3">
        <f t="shared" si="0"/>
        <v>60.994026028108465</v>
      </c>
      <c r="L10" s="3">
        <f t="shared" si="8"/>
        <v>4391.5698740238095</v>
      </c>
      <c r="M10" s="3">
        <f t="shared" si="1"/>
        <v>2.3867845797931877</v>
      </c>
      <c r="N10" s="3">
        <f t="shared" si="2"/>
        <v>1.0231207733704912</v>
      </c>
    </row>
    <row r="11" spans="1:14" x14ac:dyDescent="0.2">
      <c r="A11">
        <v>62</v>
      </c>
      <c r="B11">
        <v>154</v>
      </c>
      <c r="C11">
        <f t="shared" si="9"/>
        <v>1.0231207733704912</v>
      </c>
      <c r="D11">
        <f t="shared" si="10"/>
        <v>2.3867845797931877</v>
      </c>
      <c r="E11">
        <f t="shared" si="11"/>
        <v>149.00376472054813</v>
      </c>
      <c r="F11" s="1">
        <f t="shared" si="3"/>
        <v>24.962366967639472</v>
      </c>
      <c r="G11" s="3">
        <f t="shared" si="4"/>
        <v>24.862542262050525</v>
      </c>
      <c r="H11" s="3">
        <f t="shared" si="5"/>
        <v>-9.9824705588947182</v>
      </c>
      <c r="I11" s="3">
        <f t="shared" si="6"/>
        <v>19.151435221119364</v>
      </c>
      <c r="J11" s="3">
        <f t="shared" si="7"/>
        <v>-581.09317465201082</v>
      </c>
      <c r="K11" s="3">
        <f t="shared" si="0"/>
        <v>-9.992470558903733</v>
      </c>
      <c r="L11" s="3">
        <f t="shared" si="8"/>
        <v>-619.53317465203145</v>
      </c>
      <c r="M11" s="3">
        <f t="shared" si="1"/>
        <v>2.4487378972583906</v>
      </c>
      <c r="N11" s="3">
        <f t="shared" si="2"/>
        <v>1.0241200204263816</v>
      </c>
    </row>
    <row r="12" spans="1:14" x14ac:dyDescent="0.2">
      <c r="A12">
        <v>84</v>
      </c>
      <c r="B12">
        <v>198</v>
      </c>
      <c r="C12">
        <f t="shared" si="9"/>
        <v>1.0241200204263816</v>
      </c>
      <c r="D12">
        <f t="shared" si="10"/>
        <v>2.4487378972583906</v>
      </c>
      <c r="E12">
        <f t="shared" si="11"/>
        <v>206.7181033901312</v>
      </c>
      <c r="F12" s="1">
        <f t="shared" si="3"/>
        <v>76.005326721017212</v>
      </c>
      <c r="G12" s="3">
        <f t="shared" si="4"/>
        <v>76.179788788819678</v>
      </c>
      <c r="H12" s="3">
        <f t="shared" si="5"/>
        <v>17.446206780246598</v>
      </c>
      <c r="I12" s="3">
        <f t="shared" si="6"/>
        <v>91.357340416437154</v>
      </c>
      <c r="J12" s="3">
        <f t="shared" si="7"/>
        <v>1535.2013695419942</v>
      </c>
      <c r="K12" s="3">
        <f t="shared" si="0"/>
        <v>17.43620678026241</v>
      </c>
      <c r="L12" s="3">
        <f t="shared" si="8"/>
        <v>1464.6413695420424</v>
      </c>
      <c r="M12" s="3">
        <f t="shared" si="1"/>
        <v>2.3022737603041863</v>
      </c>
      <c r="N12" s="3">
        <f t="shared" si="2"/>
        <v>1.0223763997483555</v>
      </c>
    </row>
    <row r="13" spans="1:14" x14ac:dyDescent="0.2">
      <c r="A13">
        <v>15</v>
      </c>
      <c r="B13">
        <v>60</v>
      </c>
      <c r="C13">
        <f t="shared" si="9"/>
        <v>1.0223763997483555</v>
      </c>
      <c r="D13">
        <f t="shared" si="10"/>
        <v>2.3022737603041863</v>
      </c>
      <c r="E13">
        <f t="shared" si="11"/>
        <v>35.556482804311145</v>
      </c>
      <c r="F13" s="1">
        <f t="shared" si="3"/>
        <v>597.48553289593679</v>
      </c>
      <c r="G13" s="3">
        <f t="shared" si="4"/>
        <v>596.99676255202269</v>
      </c>
      <c r="H13" s="3">
        <f t="shared" si="5"/>
        <v>-48.877034391409779</v>
      </c>
      <c r="I13" s="3">
        <f t="shared" si="6"/>
        <v>590.17497773723017</v>
      </c>
      <c r="J13" s="3">
        <f t="shared" si="7"/>
        <v>-731.05551587066202</v>
      </c>
      <c r="K13" s="3">
        <f t="shared" si="0"/>
        <v>-48.887034391377711</v>
      </c>
      <c r="L13" s="3">
        <f t="shared" si="8"/>
        <v>-733.30551587066566</v>
      </c>
      <c r="M13" s="3">
        <f t="shared" si="1"/>
        <v>2.3756043118912529</v>
      </c>
      <c r="N13" s="3">
        <f t="shared" si="2"/>
        <v>1.0272651031874933</v>
      </c>
    </row>
    <row r="14" spans="1:14" x14ac:dyDescent="0.2">
      <c r="A14">
        <v>42</v>
      </c>
      <c r="B14">
        <v>114</v>
      </c>
      <c r="C14">
        <f t="shared" si="9"/>
        <v>1.0272651031874933</v>
      </c>
      <c r="D14">
        <f t="shared" si="10"/>
        <v>2.3756043118912529</v>
      </c>
      <c r="E14">
        <f t="shared" si="11"/>
        <v>100.80264620262011</v>
      </c>
      <c r="F14" s="1">
        <f t="shared" si="3"/>
        <v>174.17014725321741</v>
      </c>
      <c r="G14" s="3">
        <f t="shared" si="4"/>
        <v>173.90630017726966</v>
      </c>
      <c r="H14" s="3">
        <f t="shared" si="5"/>
        <v>-26.384707594775136</v>
      </c>
      <c r="I14" s="3">
        <f t="shared" si="6"/>
        <v>163.26077006341862</v>
      </c>
      <c r="J14" s="3">
        <f t="shared" si="7"/>
        <v>-1090.9377189798788</v>
      </c>
      <c r="K14" s="3">
        <f t="shared" si="0"/>
        <v>-26.39470759475978</v>
      </c>
      <c r="L14" s="3">
        <f t="shared" si="8"/>
        <v>-1108.5777189799107</v>
      </c>
      <c r="M14" s="3">
        <f t="shared" si="1"/>
        <v>2.4864620837892439</v>
      </c>
      <c r="N14" s="3">
        <f t="shared" si="2"/>
        <v>1.0299045739469692</v>
      </c>
    </row>
    <row r="15" spans="1:14" x14ac:dyDescent="0.2">
      <c r="A15">
        <v>62</v>
      </c>
      <c r="B15">
        <v>154</v>
      </c>
      <c r="C15">
        <f>N14</f>
        <v>1.0299045739469692</v>
      </c>
      <c r="D15">
        <f>M14</f>
        <v>2.4864620837892439</v>
      </c>
      <c r="E15">
        <f t="shared" si="11"/>
        <v>155.19055376888008</v>
      </c>
      <c r="F15" s="1">
        <f t="shared" si="3"/>
        <v>1.4174182765945609</v>
      </c>
      <c r="G15" s="3">
        <f t="shared" si="4"/>
        <v>1.4413293519721406</v>
      </c>
      <c r="H15" s="3">
        <f t="shared" si="5"/>
        <v>2.3911075377579749</v>
      </c>
      <c r="I15" s="3">
        <f t="shared" si="6"/>
        <v>3.2781049500058757</v>
      </c>
      <c r="J15" s="3">
        <f t="shared" si="7"/>
        <v>186.06866734113149</v>
      </c>
      <c r="K15" s="3">
        <f t="shared" si="0"/>
        <v>2.3811075377601583</v>
      </c>
      <c r="L15" s="3">
        <f t="shared" si="8"/>
        <v>147.62866734112981</v>
      </c>
      <c r="M15" s="3">
        <f t="shared" si="1"/>
        <v>2.4716992170551308</v>
      </c>
      <c r="N15" s="3">
        <f t="shared" si="2"/>
        <v>1.0296664631931931</v>
      </c>
    </row>
    <row r="16" spans="1:14" x14ac:dyDescent="0.2">
      <c r="A16">
        <v>47</v>
      </c>
      <c r="B16">
        <v>124</v>
      </c>
      <c r="C16">
        <f t="shared" si="9"/>
        <v>1.0296664631931931</v>
      </c>
      <c r="D16">
        <f t="shared" si="10"/>
        <v>2.4716992170551308</v>
      </c>
      <c r="E16">
        <f t="shared" si="11"/>
        <v>117.19952966478435</v>
      </c>
      <c r="F16" s="1">
        <f t="shared" si="3"/>
        <v>46.246396780148054</v>
      </c>
      <c r="G16" s="3">
        <f t="shared" si="4"/>
        <v>46.110487373443668</v>
      </c>
      <c r="H16" s="3">
        <f t="shared" si="5"/>
        <v>-13.590940670438556</v>
      </c>
      <c r="I16" s="3">
        <f t="shared" si="6"/>
        <v>40.074854665045535</v>
      </c>
      <c r="J16" s="3">
        <f t="shared" si="7"/>
        <v>-617.1542115102518</v>
      </c>
      <c r="K16" s="3">
        <f t="shared" si="0"/>
        <v>-13.600940670431299</v>
      </c>
      <c r="L16" s="3">
        <f t="shared" si="8"/>
        <v>-639.24421151027104</v>
      </c>
      <c r="M16" s="3">
        <f t="shared" si="1"/>
        <v>2.5356236382061579</v>
      </c>
      <c r="N16" s="3">
        <f t="shared" si="2"/>
        <v>1.0310265572602362</v>
      </c>
    </row>
    <row r="17" spans="1:14" x14ac:dyDescent="0.2">
      <c r="A17">
        <v>35</v>
      </c>
      <c r="B17">
        <v>100</v>
      </c>
      <c r="C17">
        <f t="shared" si="9"/>
        <v>1.0310265572602362</v>
      </c>
      <c r="D17">
        <f t="shared" si="10"/>
        <v>2.5356236382061579</v>
      </c>
      <c r="E17">
        <f t="shared" si="11"/>
        <v>89.777853894475754</v>
      </c>
      <c r="F17" s="1">
        <f t="shared" si="3"/>
        <v>104.4922710026845</v>
      </c>
      <c r="G17" s="3">
        <f t="shared" si="4"/>
        <v>104.28792808057392</v>
      </c>
      <c r="H17" s="3">
        <f t="shared" si="5"/>
        <v>-20.434292211058391</v>
      </c>
      <c r="I17" s="3">
        <f t="shared" si="6"/>
        <v>97.459268728817648</v>
      </c>
      <c r="J17" s="3">
        <f t="shared" si="7"/>
        <v>-703.30022738668561</v>
      </c>
      <c r="K17" s="3">
        <f t="shared" si="0"/>
        <v>-20.444292211048491</v>
      </c>
      <c r="L17" s="3">
        <f t="shared" si="8"/>
        <v>-715.5502273866972</v>
      </c>
      <c r="M17" s="3">
        <f t="shared" si="1"/>
        <v>2.6071786609448275</v>
      </c>
      <c r="N17" s="3">
        <f t="shared" si="2"/>
        <v>1.033070986481341</v>
      </c>
    </row>
    <row r="18" spans="1:14" x14ac:dyDescent="0.2">
      <c r="A18">
        <v>9</v>
      </c>
      <c r="B18">
        <v>48</v>
      </c>
      <c r="C18">
        <f t="shared" si="9"/>
        <v>1.033070986481341</v>
      </c>
      <c r="D18">
        <f t="shared" si="10"/>
        <v>2.6071786609448275</v>
      </c>
      <c r="E18">
        <f t="shared" si="11"/>
        <v>24.497678934984791</v>
      </c>
      <c r="F18" s="1">
        <f t="shared" si="3"/>
        <v>552.35909544305764</v>
      </c>
      <c r="G18" s="3">
        <f t="shared" si="4"/>
        <v>551.88914902175748</v>
      </c>
      <c r="H18" s="3">
        <f t="shared" si="5"/>
        <v>-46.994642130016473</v>
      </c>
      <c r="I18" s="3">
        <f t="shared" si="6"/>
        <v>548.13677765135503</v>
      </c>
      <c r="J18" s="3">
        <f t="shared" si="7"/>
        <v>-422.23177917026078</v>
      </c>
      <c r="K18" s="3">
        <f t="shared" si="0"/>
        <v>-47.004642130030419</v>
      </c>
      <c r="L18" s="3">
        <f t="shared" si="8"/>
        <v>-423.0417791702738</v>
      </c>
      <c r="M18" s="3">
        <f t="shared" si="1"/>
        <v>2.649482838861855</v>
      </c>
      <c r="N18" s="3">
        <f t="shared" si="2"/>
        <v>1.0377714506943441</v>
      </c>
    </row>
    <row r="19" spans="1:14" x14ac:dyDescent="0.2">
      <c r="A19">
        <v>38</v>
      </c>
      <c r="B19">
        <v>106</v>
      </c>
      <c r="C19">
        <f t="shared" si="9"/>
        <v>1.0377714506943441</v>
      </c>
      <c r="D19">
        <f t="shared" si="10"/>
        <v>2.649482838861855</v>
      </c>
      <c r="E19">
        <f t="shared" si="11"/>
        <v>101.71811932744484</v>
      </c>
      <c r="F19" s="1">
        <f t="shared" si="3"/>
        <v>18.334502094001436</v>
      </c>
      <c r="G19" s="3">
        <f t="shared" si="4"/>
        <v>18.248964480550413</v>
      </c>
      <c r="H19" s="3">
        <f t="shared" si="5"/>
        <v>-8.5537613451023731</v>
      </c>
      <c r="I19" s="3">
        <f t="shared" si="6"/>
        <v>15.224672782859551</v>
      </c>
      <c r="J19" s="3">
        <f t="shared" si="7"/>
        <v>-310.98293111418849</v>
      </c>
      <c r="K19" s="3">
        <f t="shared" si="0"/>
        <v>-8.5637613451103221</v>
      </c>
      <c r="L19" s="3">
        <f t="shared" si="8"/>
        <v>-325.42293111419224</v>
      </c>
      <c r="M19" s="3">
        <f t="shared" si="1"/>
        <v>2.6820251319732744</v>
      </c>
      <c r="N19" s="3">
        <f t="shared" si="2"/>
        <v>1.0386278268288551</v>
      </c>
    </row>
    <row r="20" spans="1:14" x14ac:dyDescent="0.2">
      <c r="A20">
        <v>44</v>
      </c>
      <c r="B20">
        <v>118</v>
      </c>
      <c r="C20">
        <f t="shared" si="9"/>
        <v>1.0386278268288551</v>
      </c>
      <c r="D20">
        <f t="shared" si="10"/>
        <v>2.6820251319732744</v>
      </c>
      <c r="E20">
        <f t="shared" si="11"/>
        <v>119.04773363365292</v>
      </c>
      <c r="F20" s="1">
        <f t="shared" si="3"/>
        <v>1.0977457670875612</v>
      </c>
      <c r="G20" s="3">
        <f t="shared" si="4"/>
        <v>1.1188004397606006</v>
      </c>
      <c r="H20" s="3">
        <f t="shared" si="5"/>
        <v>2.1054672673039398</v>
      </c>
      <c r="I20" s="3">
        <f t="shared" si="6"/>
        <v>2.2133513647021283</v>
      </c>
      <c r="J20" s="3">
        <f t="shared" si="7"/>
        <v>111.56055976145672</v>
      </c>
      <c r="K20" s="3">
        <f t="shared" si="0"/>
        <v>2.0954672673058496</v>
      </c>
      <c r="L20" s="3">
        <f t="shared" si="8"/>
        <v>92.200559761457384</v>
      </c>
      <c r="M20" s="3">
        <f t="shared" si="1"/>
        <v>2.6728050759971285</v>
      </c>
      <c r="N20" s="3">
        <f t="shared" si="2"/>
        <v>1.0384182801021244</v>
      </c>
    </row>
    <row r="21" spans="1:14" x14ac:dyDescent="0.2">
      <c r="A21">
        <v>99</v>
      </c>
      <c r="B21">
        <v>228</v>
      </c>
      <c r="C21">
        <f t="shared" si="9"/>
        <v>1.0384182801021244</v>
      </c>
      <c r="D21">
        <f t="shared" si="10"/>
        <v>2.6728050759971285</v>
      </c>
      <c r="E21">
        <f t="shared" si="11"/>
        <v>265.64612080381784</v>
      </c>
      <c r="F21" s="1">
        <f t="shared" si="3"/>
        <v>1417.2304115756463</v>
      </c>
      <c r="G21" s="3">
        <f t="shared" si="4"/>
        <v>1417.9834339917218</v>
      </c>
      <c r="H21" s="3">
        <f t="shared" si="5"/>
        <v>75.302241607550968</v>
      </c>
      <c r="I21" s="3">
        <f t="shared" si="6"/>
        <v>1492.7498307672063</v>
      </c>
      <c r="J21" s="3">
        <f t="shared" si="7"/>
        <v>7551.9419191560019</v>
      </c>
      <c r="K21" s="3">
        <f t="shared" si="0"/>
        <v>75.292241607635674</v>
      </c>
      <c r="L21" s="3">
        <f t="shared" si="8"/>
        <v>7453.9319191559316</v>
      </c>
      <c r="M21" s="3">
        <f t="shared" si="1"/>
        <v>1.9274118840815353</v>
      </c>
      <c r="N21" s="3">
        <f t="shared" si="2"/>
        <v>1.0308890559413608</v>
      </c>
    </row>
    <row r="22" spans="1:14" x14ac:dyDescent="0.2">
      <c r="A22">
        <v>13</v>
      </c>
      <c r="B22">
        <v>56</v>
      </c>
      <c r="C22">
        <f t="shared" si="9"/>
        <v>1.0308890559413608</v>
      </c>
      <c r="D22">
        <f t="shared" si="10"/>
        <v>1.9274118840815353</v>
      </c>
      <c r="E22">
        <f t="shared" si="11"/>
        <v>26.087243549001322</v>
      </c>
      <c r="F22" s="1">
        <f t="shared" si="3"/>
        <v>894.77299849676308</v>
      </c>
      <c r="G22" s="3">
        <f t="shared" si="4"/>
        <v>894.17484336774316</v>
      </c>
      <c r="H22" s="3">
        <f t="shared" si="5"/>
        <v>-59.815512901991497</v>
      </c>
      <c r="I22" s="3">
        <f t="shared" si="6"/>
        <v>887.01258181950345</v>
      </c>
      <c r="J22" s="3">
        <f t="shared" si="7"/>
        <v>-776.04166772596272</v>
      </c>
      <c r="K22" s="3">
        <f t="shared" si="0"/>
        <v>-59.825512901997357</v>
      </c>
      <c r="L22" s="3">
        <f t="shared" si="8"/>
        <v>-777.73166772596562</v>
      </c>
      <c r="M22" s="3">
        <f t="shared" si="1"/>
        <v>2.005185050854132</v>
      </c>
      <c r="N22" s="3">
        <f t="shared" si="2"/>
        <v>1.0368716072315605</v>
      </c>
    </row>
    <row r="23" spans="1:14" x14ac:dyDescent="0.2">
      <c r="A23">
        <v>21</v>
      </c>
      <c r="B23">
        <v>72</v>
      </c>
      <c r="C23">
        <f t="shared" si="9"/>
        <v>1.0368716072315605</v>
      </c>
      <c r="D23">
        <f t="shared" si="10"/>
        <v>2.005185050854132</v>
      </c>
      <c r="E23">
        <f t="shared" si="11"/>
        <v>43.145757675168333</v>
      </c>
      <c r="F23" s="1">
        <f t="shared" si="3"/>
        <v>832.56730014010714</v>
      </c>
      <c r="G23" s="3">
        <f t="shared" si="4"/>
        <v>831.99031529361059</v>
      </c>
      <c r="H23" s="3">
        <f t="shared" si="5"/>
        <v>-57.698484649654347</v>
      </c>
      <c r="I23" s="3">
        <f t="shared" si="6"/>
        <v>820.49261836367816</v>
      </c>
      <c r="J23" s="3">
        <f t="shared" si="7"/>
        <v>-1207.4681776428974</v>
      </c>
      <c r="K23" s="3">
        <f t="shared" si="0"/>
        <v>-57.708484649663333</v>
      </c>
      <c r="L23" s="3">
        <f t="shared" si="8"/>
        <v>-1211.87817764293</v>
      </c>
      <c r="M23" s="3">
        <f t="shared" si="1"/>
        <v>2.1263728686184251</v>
      </c>
      <c r="N23" s="3">
        <f t="shared" si="2"/>
        <v>1.0426424556965268</v>
      </c>
    </row>
    <row r="24" spans="1:14" x14ac:dyDescent="0.2">
      <c r="A24">
        <v>28</v>
      </c>
      <c r="B24">
        <v>86</v>
      </c>
      <c r="C24">
        <f t="shared" si="9"/>
        <v>1.0426424556965268</v>
      </c>
      <c r="D24">
        <f t="shared" si="10"/>
        <v>2.1263728686184251</v>
      </c>
      <c r="E24">
        <f t="shared" si="11"/>
        <v>60.581082777012433</v>
      </c>
      <c r="F24" s="1">
        <f t="shared" si="3"/>
        <v>646.12135278909398</v>
      </c>
      <c r="G24" s="3">
        <f t="shared" si="4"/>
        <v>645.61307444463432</v>
      </c>
      <c r="H24" s="3">
        <f t="shared" si="5"/>
        <v>-50.827834445965436</v>
      </c>
      <c r="I24" s="3">
        <f t="shared" si="6"/>
        <v>631.96515914422116</v>
      </c>
      <c r="J24" s="3">
        <f t="shared" si="7"/>
        <v>-1415.6193644872815</v>
      </c>
      <c r="K24" s="3">
        <f t="shared" si="0"/>
        <v>-50.837834445975133</v>
      </c>
      <c r="L24" s="3">
        <f t="shared" si="8"/>
        <v>-1423.4593644873037</v>
      </c>
      <c r="M24" s="3">
        <f t="shared" si="1"/>
        <v>2.2687188050671554</v>
      </c>
      <c r="N24" s="3">
        <f t="shared" si="2"/>
        <v>1.0477262391411244</v>
      </c>
    </row>
    <row r="25" spans="1:14" x14ac:dyDescent="0.2">
      <c r="A25">
        <v>20</v>
      </c>
      <c r="B25">
        <v>70</v>
      </c>
      <c r="C25">
        <f t="shared" si="9"/>
        <v>1.0477262391411244</v>
      </c>
      <c r="D25">
        <f t="shared" si="10"/>
        <v>2.2687188050671554</v>
      </c>
      <c r="E25">
        <f t="shared" si="11"/>
        <v>46.422102340484237</v>
      </c>
      <c r="F25" s="1">
        <f t="shared" si="3"/>
        <v>555.91725804259886</v>
      </c>
      <c r="G25" s="3">
        <f t="shared" si="4"/>
        <v>555.44580008940864</v>
      </c>
      <c r="H25" s="3">
        <f t="shared" si="5"/>
        <v>-47.145795319022454</v>
      </c>
      <c r="I25" s="3">
        <f t="shared" si="6"/>
        <v>546.52609897879279</v>
      </c>
      <c r="J25" s="3">
        <f t="shared" si="7"/>
        <v>-939.11590638060716</v>
      </c>
      <c r="K25" s="3">
        <f t="shared" si="0"/>
        <v>-47.155795319031526</v>
      </c>
      <c r="L25" s="3">
        <f t="shared" si="8"/>
        <v>-943.11590638063058</v>
      </c>
      <c r="M25" s="3">
        <f t="shared" si="1"/>
        <v>2.3630303957052186</v>
      </c>
      <c r="N25" s="3">
        <f t="shared" si="2"/>
        <v>1.0524418186730276</v>
      </c>
    </row>
    <row r="26" spans="1:14" x14ac:dyDescent="0.2">
      <c r="A26">
        <v>8</v>
      </c>
      <c r="B26">
        <v>46</v>
      </c>
      <c r="C26">
        <f t="shared" si="9"/>
        <v>1.0524418186730276</v>
      </c>
      <c r="D26">
        <f t="shared" si="10"/>
        <v>2.3630303957052186</v>
      </c>
      <c r="E26">
        <f t="shared" si="11"/>
        <v>19.956684984314776</v>
      </c>
      <c r="F26" s="1">
        <f t="shared" si="3"/>
        <v>678.25425700621543</v>
      </c>
      <c r="G26" s="3">
        <f t="shared" si="4"/>
        <v>677.73349070590189</v>
      </c>
      <c r="H26" s="3">
        <f t="shared" si="5"/>
        <v>-52.076630031353943</v>
      </c>
      <c r="I26" s="3">
        <f t="shared" si="6"/>
        <v>674.09372660370593</v>
      </c>
      <c r="J26" s="3">
        <f t="shared" si="7"/>
        <v>-416.05304025094938</v>
      </c>
      <c r="K26" s="3">
        <f t="shared" si="0"/>
        <v>-52.086630031370447</v>
      </c>
      <c r="L26" s="3">
        <f t="shared" si="8"/>
        <v>-416.69304025096358</v>
      </c>
      <c r="M26" s="3">
        <f t="shared" si="1"/>
        <v>2.4046996997303149</v>
      </c>
      <c r="N26" s="3">
        <f t="shared" si="2"/>
        <v>1.0576504816761645</v>
      </c>
    </row>
    <row r="27" spans="1:14" x14ac:dyDescent="0.2">
      <c r="A27">
        <v>64</v>
      </c>
      <c r="B27">
        <v>158</v>
      </c>
      <c r="C27">
        <f t="shared" si="9"/>
        <v>1.0576504816761645</v>
      </c>
      <c r="D27">
        <f t="shared" si="10"/>
        <v>2.4046996997303149</v>
      </c>
      <c r="E27">
        <f t="shared" si="11"/>
        <v>154.95843126441633</v>
      </c>
      <c r="F27" s="1">
        <f t="shared" si="3"/>
        <v>9.251140373280025</v>
      </c>
      <c r="G27" s="3">
        <f t="shared" si="4"/>
        <v>9.1904089985684063</v>
      </c>
      <c r="H27" s="3">
        <f t="shared" si="5"/>
        <v>-6.0731374711618713</v>
      </c>
      <c r="I27" s="3">
        <f t="shared" si="6"/>
        <v>5.7675323917329973</v>
      </c>
      <c r="J27" s="3">
        <f t="shared" si="7"/>
        <v>-348.36079815470276</v>
      </c>
      <c r="K27" s="3">
        <f t="shared" si="0"/>
        <v>-6.0831374711673334</v>
      </c>
      <c r="L27" s="3">
        <f t="shared" si="8"/>
        <v>-389.32079815470934</v>
      </c>
      <c r="M27" s="3">
        <f t="shared" si="1"/>
        <v>2.443631779545786</v>
      </c>
      <c r="N27" s="3">
        <f t="shared" si="2"/>
        <v>1.0582587954232812</v>
      </c>
    </row>
    <row r="28" spans="1:14" x14ac:dyDescent="0.2">
      <c r="A28">
        <v>99</v>
      </c>
      <c r="B28">
        <v>228</v>
      </c>
      <c r="C28">
        <f t="shared" si="9"/>
        <v>1.0582587954232812</v>
      </c>
      <c r="D28">
        <f t="shared" si="10"/>
        <v>2.443631779545786</v>
      </c>
      <c r="E28">
        <f t="shared" si="11"/>
        <v>242.97780497045611</v>
      </c>
      <c r="F28" s="1">
        <f t="shared" si="3"/>
        <v>224.33464173301962</v>
      </c>
      <c r="G28" s="3">
        <f t="shared" si="4"/>
        <v>224.63429783242847</v>
      </c>
      <c r="H28" s="3">
        <f t="shared" si="5"/>
        <v>29.965609940884974</v>
      </c>
      <c r="I28" s="3">
        <f t="shared" si="6"/>
        <v>254.9707955745221</v>
      </c>
      <c r="J28" s="3">
        <f t="shared" si="7"/>
        <v>3063.6153841502478</v>
      </c>
      <c r="K28" s="3">
        <f t="shared" si="0"/>
        <v>29.955609940912211</v>
      </c>
      <c r="L28" s="3">
        <f t="shared" si="8"/>
        <v>2965.605384150309</v>
      </c>
      <c r="M28" s="3">
        <f t="shared" si="1"/>
        <v>2.1470712411307553</v>
      </c>
      <c r="N28" s="3">
        <f t="shared" si="2"/>
        <v>1.0552632344291899</v>
      </c>
    </row>
    <row r="29" spans="1:14" x14ac:dyDescent="0.2">
      <c r="A29">
        <v>70</v>
      </c>
      <c r="B29">
        <v>170</v>
      </c>
      <c r="C29">
        <f t="shared" si="9"/>
        <v>1.0552632344291899</v>
      </c>
      <c r="D29">
        <f t="shared" si="10"/>
        <v>2.1470712411307553</v>
      </c>
      <c r="E29">
        <f t="shared" si="11"/>
        <v>151.35025011358206</v>
      </c>
      <c r="F29" s="1">
        <f t="shared" si="3"/>
        <v>347.8131708259458</v>
      </c>
      <c r="G29" s="3">
        <f t="shared" si="4"/>
        <v>347.44027582821781</v>
      </c>
      <c r="H29" s="3">
        <f t="shared" si="5"/>
        <v>-37.289499772799672</v>
      </c>
      <c r="I29" s="3">
        <f t="shared" si="6"/>
        <v>322.19352098496114</v>
      </c>
      <c r="J29" s="3">
        <f t="shared" si="7"/>
        <v>-2561.9649840984662</v>
      </c>
      <c r="K29" s="3">
        <f t="shared" si="0"/>
        <v>-37.299499772835873</v>
      </c>
      <c r="L29" s="3">
        <f t="shared" si="8"/>
        <v>-2610.9649840985112</v>
      </c>
      <c r="M29" s="3">
        <f t="shared" si="1"/>
        <v>2.4081677395406063</v>
      </c>
      <c r="N29" s="3">
        <f t="shared" si="2"/>
        <v>1.0589931844064735</v>
      </c>
    </row>
    <row r="30" spans="1:14" x14ac:dyDescent="0.2">
      <c r="A30">
        <v>27</v>
      </c>
      <c r="B30">
        <v>84</v>
      </c>
      <c r="C30">
        <f t="shared" si="9"/>
        <v>1.0589931844064735</v>
      </c>
      <c r="D30">
        <f t="shared" si="10"/>
        <v>2.4081677395406063</v>
      </c>
      <c r="E30">
        <f t="shared" si="11"/>
        <v>66.079522152002838</v>
      </c>
      <c r="F30" s="1">
        <f t="shared" si="3"/>
        <v>321.14352630055703</v>
      </c>
      <c r="G30" s="3">
        <f t="shared" si="4"/>
        <v>320.78521674359689</v>
      </c>
      <c r="H30" s="3">
        <f t="shared" si="5"/>
        <v>-35.830955696013689</v>
      </c>
      <c r="I30" s="3">
        <f t="shared" si="6"/>
        <v>311.53936826263867</v>
      </c>
      <c r="J30" s="3">
        <f t="shared" si="7"/>
        <v>-960.41580379183529</v>
      </c>
      <c r="K30" s="3">
        <f t="shared" si="0"/>
        <v>-35.840955695994325</v>
      </c>
      <c r="L30" s="3">
        <f t="shared" si="8"/>
        <v>-967.70580379184673</v>
      </c>
      <c r="M30" s="3">
        <f t="shared" si="1"/>
        <v>2.5049383199197908</v>
      </c>
      <c r="N30" s="3">
        <f t="shared" si="2"/>
        <v>1.0625772799760729</v>
      </c>
    </row>
    <row r="31" spans="1:14" x14ac:dyDescent="0.2">
      <c r="A31">
        <v>17</v>
      </c>
      <c r="B31">
        <v>64</v>
      </c>
      <c r="C31">
        <f t="shared" si="9"/>
        <v>1.0625772799760729</v>
      </c>
      <c r="D31">
        <f t="shared" si="10"/>
        <v>2.5049383199197908</v>
      </c>
      <c r="E31">
        <f t="shared" si="11"/>
        <v>43.646528718612515</v>
      </c>
      <c r="F31" s="1">
        <f t="shared" si="3"/>
        <v>414.26379320226511</v>
      </c>
      <c r="G31" s="3">
        <f t="shared" si="4"/>
        <v>413.85682377663744</v>
      </c>
      <c r="H31" s="3">
        <f t="shared" si="5"/>
        <v>-40.69694256276648</v>
      </c>
      <c r="I31" s="3">
        <f t="shared" si="6"/>
        <v>407.37251296659326</v>
      </c>
      <c r="J31" s="3">
        <f t="shared" si="7"/>
        <v>-689.1280235671843</v>
      </c>
      <c r="K31" s="3">
        <f t="shared" si="0"/>
        <v>-40.706942562774969</v>
      </c>
      <c r="L31" s="3">
        <f t="shared" si="8"/>
        <v>-692.01802356717451</v>
      </c>
      <c r="M31" s="3">
        <f t="shared" si="1"/>
        <v>2.5741401222765083</v>
      </c>
      <c r="N31" s="3">
        <f t="shared" si="2"/>
        <v>1.0666479742323505</v>
      </c>
    </row>
    <row r="32" spans="1:14" x14ac:dyDescent="0.2">
      <c r="A32">
        <v>8</v>
      </c>
      <c r="B32">
        <v>46</v>
      </c>
      <c r="C32">
        <f t="shared" si="9"/>
        <v>1.0666479742323505</v>
      </c>
      <c r="D32">
        <f t="shared" si="10"/>
        <v>2.5741401222765083</v>
      </c>
      <c r="E32">
        <f t="shared" si="11"/>
        <v>21.659768952444416</v>
      </c>
      <c r="F32" s="1">
        <f t="shared" si="3"/>
        <v>592.44684744838878</v>
      </c>
      <c r="G32" s="3">
        <f t="shared" si="4"/>
        <v>591.96014282743761</v>
      </c>
      <c r="H32" s="3">
        <f t="shared" si="5"/>
        <v>-48.670462095117273</v>
      </c>
      <c r="I32" s="3">
        <f t="shared" si="6"/>
        <v>588.55881048077993</v>
      </c>
      <c r="J32" s="3">
        <f t="shared" si="7"/>
        <v>-388.80369676088549</v>
      </c>
      <c r="K32" s="3">
        <f t="shared" si="0"/>
        <v>-48.680462095111167</v>
      </c>
      <c r="L32" s="3">
        <f t="shared" si="8"/>
        <v>-389.44369676088934</v>
      </c>
      <c r="M32" s="3">
        <f t="shared" si="1"/>
        <v>2.6130844919525971</v>
      </c>
      <c r="N32" s="3">
        <f t="shared" si="2"/>
        <v>1.0715160204418617</v>
      </c>
    </row>
    <row r="33" spans="3:12" x14ac:dyDescent="0.2">
      <c r="E33" t="s">
        <v>2</v>
      </c>
      <c r="F33" s="1">
        <f>SQRT(SUM(F4:F32))</f>
        <v>150.75521153771854</v>
      </c>
      <c r="K33" s="3">
        <f>SQRT(SUMSQ(K4:K32))</f>
        <v>301.51042307543707</v>
      </c>
      <c r="L33" s="3">
        <f>SQRT(SUMSQ(L4:L32))</f>
        <v>20791.831056415613</v>
      </c>
    </row>
    <row r="36" spans="3:12" x14ac:dyDescent="0.2">
      <c r="C36" t="s">
        <v>20</v>
      </c>
    </row>
    <row r="37" spans="3:12" x14ac:dyDescent="0.2">
      <c r="C37" t="s">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1</xdr:row>
                    <xdr:rowOff>215900</xdr:rowOff>
                  </to>
                </anchor>
              </controlPr>
            </control>
          </mc:Choice>
          <mc:Fallback/>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omentum" enableFormatConditionsCalculation="0"/>
  <dimension ref="A1:M33"/>
  <sheetViews>
    <sheetView zoomScale="120" zoomScaleNormal="130" zoomScalePageLayoutView="130" workbookViewId="0">
      <pane xSplit="3" ySplit="3" topLeftCell="D19"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1" width="6.6640625" customWidth="1"/>
  </cols>
  <sheetData>
    <row r="1" spans="1:13" x14ac:dyDescent="0.2">
      <c r="B1" t="s">
        <v>21</v>
      </c>
      <c r="C1" s="5">
        <v>2.2210685770391527</v>
      </c>
      <c r="D1" s="5" t="s">
        <v>14</v>
      </c>
      <c r="I1" t="s">
        <v>24</v>
      </c>
      <c r="J1">
        <v>0.9</v>
      </c>
      <c r="K1">
        <f>1-J1</f>
        <v>9.9999999999999978E-2</v>
      </c>
      <c r="L1" t="s">
        <v>72</v>
      </c>
    </row>
    <row r="2" spans="1:13" x14ac:dyDescent="0.2">
      <c r="B2" t="s">
        <v>22</v>
      </c>
      <c r="C2" s="5">
        <v>2.3461276925087842</v>
      </c>
      <c r="D2">
        <v>1E-4</v>
      </c>
      <c r="F2" s="9"/>
      <c r="G2" s="9"/>
    </row>
    <row r="3" spans="1:13" s="2" customFormat="1" x14ac:dyDescent="0.2">
      <c r="A3" s="2" t="s">
        <v>15</v>
      </c>
      <c r="B3" s="2" t="s">
        <v>16</v>
      </c>
      <c r="C3" s="6" t="s">
        <v>21</v>
      </c>
      <c r="D3" s="6" t="s">
        <v>22</v>
      </c>
      <c r="E3" s="6" t="s">
        <v>18</v>
      </c>
      <c r="F3" s="8" t="s">
        <v>6</v>
      </c>
      <c r="G3" s="8" t="s">
        <v>9</v>
      </c>
      <c r="H3" s="2" t="s">
        <v>13</v>
      </c>
      <c r="I3" s="2" t="s">
        <v>12</v>
      </c>
      <c r="J3">
        <f>J33</f>
        <v>-18.631348884757422</v>
      </c>
      <c r="K3">
        <f>K33</f>
        <v>157.75884517833853</v>
      </c>
      <c r="L3" s="4" t="s">
        <v>71</v>
      </c>
      <c r="M3" s="4"/>
    </row>
    <row r="4" spans="1:13" x14ac:dyDescent="0.2">
      <c r="A4">
        <v>14</v>
      </c>
      <c r="B4">
        <v>58</v>
      </c>
      <c r="C4" s="5">
        <f>C1</f>
        <v>2.2210685770391527</v>
      </c>
      <c r="D4" s="5">
        <f>C2</f>
        <v>2.3461276925087842</v>
      </c>
      <c r="E4" s="5">
        <f>C4+D4*A4</f>
        <v>35.066856272162134</v>
      </c>
      <c r="F4" s="7">
        <f t="shared" ref="F4:F32" si="0">2*(D4*A4+C4-B4)</f>
        <v>-45.866287455675732</v>
      </c>
      <c r="G4" s="7">
        <f t="shared" ref="G4:G32" si="1">F4*A4</f>
        <v>-642.12802437946027</v>
      </c>
      <c r="H4" s="3">
        <f>C4-J4*$D$2</f>
        <v>2.2232040613133375</v>
      </c>
      <c r="I4" s="3">
        <f>D4-K4*$D$2</f>
        <v>2.3383506766865283</v>
      </c>
      <c r="J4">
        <f>J3*$J$1+$K$1*F4</f>
        <v>-21.354842741849254</v>
      </c>
      <c r="K4">
        <f>K3*$J$1+$K$1*G4</f>
        <v>77.770158222558678</v>
      </c>
    </row>
    <row r="5" spans="1:13" x14ac:dyDescent="0.2">
      <c r="A5">
        <v>86</v>
      </c>
      <c r="B5">
        <v>202</v>
      </c>
      <c r="C5" s="5">
        <f>H4</f>
        <v>2.2232040613133375</v>
      </c>
      <c r="D5" s="5">
        <f>I4</f>
        <v>2.3383506766865283</v>
      </c>
      <c r="E5" s="5">
        <f>C5+D5*A5</f>
        <v>203.32136225635477</v>
      </c>
      <c r="F5" s="7">
        <f t="shared" si="0"/>
        <v>2.6427245127095489</v>
      </c>
      <c r="G5" s="7">
        <f t="shared" si="1"/>
        <v>227.2743080930212</v>
      </c>
      <c r="H5" s="3">
        <f t="shared" ref="H5:H32" si="2">C5-J5*$D$2</f>
        <v>2.2250995699149767</v>
      </c>
      <c r="I5" s="3">
        <f t="shared" ref="I5:I32" si="3">D5-K5*$D$2</f>
        <v>2.3290786193655677</v>
      </c>
      <c r="J5">
        <f>J4*$J$1+$K$1*F5</f>
        <v>-18.955086016393373</v>
      </c>
      <c r="K5">
        <f t="shared" ref="J5:K20" si="4">K4*$J$1+$K$1*G5</f>
        <v>92.720573209604936</v>
      </c>
    </row>
    <row r="6" spans="1:13" x14ac:dyDescent="0.2">
      <c r="A6">
        <v>28</v>
      </c>
      <c r="B6">
        <v>86</v>
      </c>
      <c r="C6" s="5">
        <f>H5</f>
        <v>2.2250995699149767</v>
      </c>
      <c r="D6" s="5">
        <f>I5</f>
        <v>2.3290786193655677</v>
      </c>
      <c r="E6" s="5">
        <f>C6+D6*A6</f>
        <v>67.43930091215087</v>
      </c>
      <c r="F6" s="7">
        <f t="shared" si="0"/>
        <v>-37.121398175698261</v>
      </c>
      <c r="G6" s="7">
        <f t="shared" si="1"/>
        <v>-1039.3991489195514</v>
      </c>
      <c r="H6" s="3">
        <f t="shared" si="2"/>
        <v>2.2271767416382091</v>
      </c>
      <c r="I6" s="3">
        <f t="shared" si="3"/>
        <v>2.331127759265899</v>
      </c>
      <c r="J6">
        <f t="shared" si="4"/>
        <v>-20.771717232323862</v>
      </c>
      <c r="K6">
        <f t="shared" si="4"/>
        <v>-20.491399003310661</v>
      </c>
    </row>
    <row r="7" spans="1:13" x14ac:dyDescent="0.2">
      <c r="A7">
        <v>51</v>
      </c>
      <c r="B7">
        <v>132</v>
      </c>
      <c r="C7" s="5">
        <f t="shared" ref="C7:D32" si="5">H6</f>
        <v>2.2271767416382091</v>
      </c>
      <c r="D7" s="5">
        <f t="shared" si="5"/>
        <v>2.331127759265899</v>
      </c>
      <c r="E7" s="5">
        <f t="shared" ref="E7:E32" si="6">C7+D7*A7</f>
        <v>121.11469246419905</v>
      </c>
      <c r="F7" s="7">
        <f t="shared" si="0"/>
        <v>-21.770615071601895</v>
      </c>
      <c r="G7" s="7">
        <f t="shared" si="1"/>
        <v>-1110.3013686516967</v>
      </c>
      <c r="H7" s="3">
        <f t="shared" si="2"/>
        <v>2.2292639023398344</v>
      </c>
      <c r="I7" s="3">
        <f t="shared" si="3"/>
        <v>2.3440749988627139</v>
      </c>
      <c r="J7">
        <f t="shared" si="4"/>
        <v>-20.871607016251666</v>
      </c>
      <c r="K7">
        <f t="shared" si="4"/>
        <v>-129.47239596814924</v>
      </c>
    </row>
    <row r="8" spans="1:13" x14ac:dyDescent="0.2">
      <c r="A8">
        <v>28</v>
      </c>
      <c r="B8">
        <v>86</v>
      </c>
      <c r="C8" s="5">
        <f t="shared" si="5"/>
        <v>2.2292639023398344</v>
      </c>
      <c r="D8" s="5">
        <f t="shared" si="5"/>
        <v>2.3440749988627139</v>
      </c>
      <c r="E8" s="5">
        <f t="shared" si="6"/>
        <v>67.863363870495832</v>
      </c>
      <c r="F8" s="7">
        <f t="shared" si="0"/>
        <v>-36.273272259008337</v>
      </c>
      <c r="G8" s="7">
        <f t="shared" si="1"/>
        <v>-1015.6516232522334</v>
      </c>
      <c r="H8" s="3">
        <f t="shared" si="2"/>
        <v>2.2315050796938873</v>
      </c>
      <c r="I8" s="3">
        <f t="shared" si="3"/>
        <v>2.3658840307323694</v>
      </c>
      <c r="J8">
        <f t="shared" si="4"/>
        <v>-22.411773540527332</v>
      </c>
      <c r="K8">
        <f t="shared" si="4"/>
        <v>-218.09031869655763</v>
      </c>
    </row>
    <row r="9" spans="1:13" x14ac:dyDescent="0.2">
      <c r="A9">
        <v>29</v>
      </c>
      <c r="B9">
        <v>88</v>
      </c>
      <c r="C9" s="5">
        <f t="shared" si="5"/>
        <v>2.2315050796938873</v>
      </c>
      <c r="D9" s="5">
        <f t="shared" si="5"/>
        <v>2.3658840307323694</v>
      </c>
      <c r="E9" s="5">
        <f t="shared" si="6"/>
        <v>70.842141970932602</v>
      </c>
      <c r="F9" s="7">
        <f t="shared" si="0"/>
        <v>-34.315716058134797</v>
      </c>
      <c r="G9" s="7">
        <f t="shared" si="1"/>
        <v>-995.15576568590905</v>
      </c>
      <c r="H9" s="3">
        <f t="shared" si="2"/>
        <v>2.233865296473116</v>
      </c>
      <c r="I9" s="3">
        <f t="shared" si="3"/>
        <v>2.3954637170719186</v>
      </c>
      <c r="J9">
        <f t="shared" si="4"/>
        <v>-23.602167792288075</v>
      </c>
      <c r="K9">
        <f t="shared" si="4"/>
        <v>-295.79686339549278</v>
      </c>
    </row>
    <row r="10" spans="1:13" x14ac:dyDescent="0.2">
      <c r="A10">
        <v>72</v>
      </c>
      <c r="B10">
        <v>174</v>
      </c>
      <c r="C10" s="5">
        <f t="shared" si="5"/>
        <v>2.233865296473116</v>
      </c>
      <c r="D10" s="5">
        <f t="shared" si="5"/>
        <v>2.3954637170719186</v>
      </c>
      <c r="E10" s="5">
        <f t="shared" si="6"/>
        <v>174.70725292565126</v>
      </c>
      <c r="F10" s="7">
        <f t="shared" si="0"/>
        <v>1.4145058513025219</v>
      </c>
      <c r="G10" s="7">
        <f t="shared" si="1"/>
        <v>101.84442129378158</v>
      </c>
      <c r="H10" s="3">
        <f t="shared" si="2"/>
        <v>2.2359753465159091</v>
      </c>
      <c r="I10" s="3">
        <f t="shared" si="3"/>
        <v>2.421066990564575</v>
      </c>
      <c r="J10">
        <f t="shared" si="4"/>
        <v>-21.100500427929017</v>
      </c>
      <c r="K10">
        <f t="shared" si="4"/>
        <v>-256.03273492656535</v>
      </c>
    </row>
    <row r="11" spans="1:13" x14ac:dyDescent="0.2">
      <c r="A11">
        <v>62</v>
      </c>
      <c r="B11">
        <v>154</v>
      </c>
      <c r="C11" s="5">
        <f t="shared" si="5"/>
        <v>2.2359753465159091</v>
      </c>
      <c r="D11" s="5">
        <f t="shared" si="5"/>
        <v>2.421066990564575</v>
      </c>
      <c r="E11" s="5">
        <f t="shared" si="6"/>
        <v>152.34212876151958</v>
      </c>
      <c r="F11" s="7">
        <f t="shared" si="0"/>
        <v>-3.3157424769608497</v>
      </c>
      <c r="G11" s="7">
        <f t="shared" si="1"/>
        <v>-205.57603357157268</v>
      </c>
      <c r="H11" s="3">
        <f t="shared" si="2"/>
        <v>2.2379075489791922</v>
      </c>
      <c r="I11" s="3">
        <f t="shared" si="3"/>
        <v>2.4461656970436816</v>
      </c>
      <c r="J11">
        <f t="shared" si="4"/>
        <v>-19.3220246328322</v>
      </c>
      <c r="K11">
        <f t="shared" si="4"/>
        <v>-250.98706479106608</v>
      </c>
    </row>
    <row r="12" spans="1:13" x14ac:dyDescent="0.2">
      <c r="A12">
        <v>84</v>
      </c>
      <c r="B12">
        <v>198</v>
      </c>
      <c r="C12" s="5">
        <f t="shared" si="5"/>
        <v>2.2379075489791922</v>
      </c>
      <c r="D12" s="5">
        <f t="shared" si="5"/>
        <v>2.4461656970436816</v>
      </c>
      <c r="E12" s="5">
        <f t="shared" si="6"/>
        <v>207.71582610064846</v>
      </c>
      <c r="F12" s="7">
        <f t="shared" si="0"/>
        <v>19.431652201296913</v>
      </c>
      <c r="G12" s="7">
        <f t="shared" si="1"/>
        <v>1632.2587849089407</v>
      </c>
      <c r="H12" s="3">
        <f t="shared" si="2"/>
        <v>2.239452214674134</v>
      </c>
      <c r="I12" s="3">
        <f t="shared" si="3"/>
        <v>2.4524319450257881</v>
      </c>
      <c r="J12">
        <f t="shared" si="4"/>
        <v>-15.446656949419291</v>
      </c>
      <c r="K12">
        <f t="shared" si="4"/>
        <v>-62.662479821065432</v>
      </c>
    </row>
    <row r="13" spans="1:13" x14ac:dyDescent="0.2">
      <c r="A13">
        <v>15</v>
      </c>
      <c r="B13">
        <v>60</v>
      </c>
      <c r="C13" s="5">
        <f t="shared" si="5"/>
        <v>2.239452214674134</v>
      </c>
      <c r="D13" s="5">
        <f t="shared" si="5"/>
        <v>2.4524319450257881</v>
      </c>
      <c r="E13" s="5">
        <f t="shared" si="6"/>
        <v>39.025931390060954</v>
      </c>
      <c r="F13" s="7">
        <f t="shared" si="0"/>
        <v>-41.948137219878092</v>
      </c>
      <c r="G13" s="7">
        <f t="shared" si="1"/>
        <v>-629.22205829817142</v>
      </c>
      <c r="H13" s="3">
        <f t="shared" si="2"/>
        <v>2.2412618951717804</v>
      </c>
      <c r="I13" s="3">
        <f t="shared" si="3"/>
        <v>2.4643637887926655</v>
      </c>
      <c r="J13">
        <f t="shared" si="4"/>
        <v>-18.096804976465172</v>
      </c>
      <c r="K13">
        <f t="shared" si="4"/>
        <v>-119.31843766877603</v>
      </c>
    </row>
    <row r="14" spans="1:13" x14ac:dyDescent="0.2">
      <c r="A14">
        <v>42</v>
      </c>
      <c r="B14">
        <v>114</v>
      </c>
      <c r="C14" s="5">
        <f t="shared" si="5"/>
        <v>2.2412618951717804</v>
      </c>
      <c r="D14" s="5">
        <f t="shared" si="5"/>
        <v>2.4643637887926655</v>
      </c>
      <c r="E14" s="5">
        <f t="shared" si="6"/>
        <v>105.74454102446373</v>
      </c>
      <c r="F14" s="7">
        <f t="shared" si="0"/>
        <v>-16.510917951072543</v>
      </c>
      <c r="G14" s="7">
        <f t="shared" si="1"/>
        <v>-693.45855394504679</v>
      </c>
      <c r="H14" s="3">
        <f t="shared" si="2"/>
        <v>2.2430557167991729</v>
      </c>
      <c r="I14" s="3">
        <f t="shared" si="3"/>
        <v>2.4820370337223059</v>
      </c>
      <c r="J14">
        <f t="shared" si="4"/>
        <v>-17.93821627392591</v>
      </c>
      <c r="K14">
        <f t="shared" si="4"/>
        <v>-176.7324492964031</v>
      </c>
    </row>
    <row r="15" spans="1:13" x14ac:dyDescent="0.2">
      <c r="A15">
        <v>62</v>
      </c>
      <c r="B15">
        <v>154</v>
      </c>
      <c r="C15" s="5">
        <f t="shared" si="5"/>
        <v>2.2430557167991729</v>
      </c>
      <c r="D15" s="5">
        <f>I14</f>
        <v>2.4820370337223059</v>
      </c>
      <c r="E15" s="5">
        <f t="shared" si="6"/>
        <v>156.12935180758214</v>
      </c>
      <c r="F15" s="7">
        <f t="shared" si="0"/>
        <v>4.2587036151642792</v>
      </c>
      <c r="G15" s="7">
        <f t="shared" si="1"/>
        <v>264.03962414018531</v>
      </c>
      <c r="H15" s="3">
        <f t="shared" si="2"/>
        <v>2.2446275692276747</v>
      </c>
      <c r="I15" s="3">
        <f t="shared" si="3"/>
        <v>2.4953025579175803</v>
      </c>
      <c r="J15">
        <f t="shared" si="4"/>
        <v>-15.718524285016894</v>
      </c>
      <c r="K15">
        <f t="shared" si="4"/>
        <v>-132.65524195274426</v>
      </c>
    </row>
    <row r="16" spans="1:13" x14ac:dyDescent="0.2">
      <c r="A16">
        <v>47</v>
      </c>
      <c r="B16">
        <v>124</v>
      </c>
      <c r="C16" s="5">
        <f t="shared" si="5"/>
        <v>2.2446275692276747</v>
      </c>
      <c r="D16" s="5">
        <f t="shared" si="5"/>
        <v>2.4953025579175803</v>
      </c>
      <c r="E16" s="5">
        <f t="shared" si="6"/>
        <v>119.52384779135394</v>
      </c>
      <c r="F16" s="7">
        <f t="shared" si="0"/>
        <v>-8.9523044172921118</v>
      </c>
      <c r="G16" s="7">
        <f t="shared" si="1"/>
        <v>-420.75830761272925</v>
      </c>
      <c r="H16" s="3">
        <f t="shared" si="2"/>
        <v>2.2461317594574992</v>
      </c>
      <c r="I16" s="3">
        <f t="shared" si="3"/>
        <v>2.5114491127694545</v>
      </c>
      <c r="J16">
        <f t="shared" si="4"/>
        <v>-15.041902298244416</v>
      </c>
      <c r="K16">
        <f t="shared" si="4"/>
        <v>-161.46554851874276</v>
      </c>
    </row>
    <row r="17" spans="1:11" x14ac:dyDescent="0.2">
      <c r="A17">
        <v>35</v>
      </c>
      <c r="B17">
        <v>100</v>
      </c>
      <c r="C17" s="5">
        <f t="shared" si="5"/>
        <v>2.2461317594574992</v>
      </c>
      <c r="D17" s="5">
        <f t="shared" si="5"/>
        <v>2.5114491127694545</v>
      </c>
      <c r="E17" s="5">
        <f t="shared" si="6"/>
        <v>90.146850706388406</v>
      </c>
      <c r="F17" s="7">
        <f t="shared" si="0"/>
        <v>-19.706298587223188</v>
      </c>
      <c r="G17" s="7">
        <f t="shared" si="1"/>
        <v>-689.7204505528116</v>
      </c>
      <c r="H17" s="3">
        <f t="shared" si="2"/>
        <v>2.2476825936502136</v>
      </c>
      <c r="I17" s="3">
        <f t="shared" si="3"/>
        <v>2.5328782166416692</v>
      </c>
      <c r="J17">
        <f t="shared" si="4"/>
        <v>-15.508341927142293</v>
      </c>
      <c r="K17">
        <f t="shared" si="4"/>
        <v>-214.29103872214964</v>
      </c>
    </row>
    <row r="18" spans="1:11" x14ac:dyDescent="0.2">
      <c r="A18">
        <v>9</v>
      </c>
      <c r="B18">
        <v>48</v>
      </c>
      <c r="C18" s="5">
        <f t="shared" si="5"/>
        <v>2.2476825936502136</v>
      </c>
      <c r="D18" s="5">
        <f t="shared" si="5"/>
        <v>2.5328782166416692</v>
      </c>
      <c r="E18" s="5">
        <f t="shared" si="6"/>
        <v>25.043586543425238</v>
      </c>
      <c r="F18" s="7">
        <f t="shared" si="0"/>
        <v>-45.912826913149523</v>
      </c>
      <c r="G18" s="7">
        <f t="shared" si="1"/>
        <v>-413.21544221834569</v>
      </c>
      <c r="H18" s="3">
        <f t="shared" si="2"/>
        <v>2.2495374726927877</v>
      </c>
      <c r="I18" s="3">
        <f t="shared" si="3"/>
        <v>2.556296564548846</v>
      </c>
      <c r="J18">
        <f t="shared" si="4"/>
        <v>-18.548790425743015</v>
      </c>
      <c r="K18">
        <f t="shared" si="4"/>
        <v>-234.18347907176923</v>
      </c>
    </row>
    <row r="19" spans="1:11" x14ac:dyDescent="0.2">
      <c r="A19">
        <v>38</v>
      </c>
      <c r="B19">
        <v>106</v>
      </c>
      <c r="C19" s="5">
        <f t="shared" si="5"/>
        <v>2.2495374726927877</v>
      </c>
      <c r="D19" s="5">
        <f t="shared" si="5"/>
        <v>2.556296564548846</v>
      </c>
      <c r="E19" s="5">
        <f t="shared" si="6"/>
        <v>99.388806925548948</v>
      </c>
      <c r="F19" s="7">
        <f t="shared" si="0"/>
        <v>-13.222386148902103</v>
      </c>
      <c r="G19" s="7">
        <f t="shared" si="1"/>
        <v>-502.45067365827992</v>
      </c>
      <c r="H19" s="3">
        <f t="shared" si="2"/>
        <v>2.2513390876925934</v>
      </c>
      <c r="I19" s="3">
        <f t="shared" si="3"/>
        <v>2.582397584401888</v>
      </c>
      <c r="J19">
        <f t="shared" si="4"/>
        <v>-18.016149998058925</v>
      </c>
      <c r="K19">
        <f t="shared" si="4"/>
        <v>-261.01019853042027</v>
      </c>
    </row>
    <row r="20" spans="1:11" x14ac:dyDescent="0.2">
      <c r="A20">
        <v>44</v>
      </c>
      <c r="B20">
        <v>118</v>
      </c>
      <c r="C20" s="5">
        <f t="shared" si="5"/>
        <v>2.2513390876925934</v>
      </c>
      <c r="D20" s="5">
        <f t="shared" si="5"/>
        <v>2.582397584401888</v>
      </c>
      <c r="E20" s="5">
        <f t="shared" si="6"/>
        <v>115.87683280137567</v>
      </c>
      <c r="F20" s="7">
        <f t="shared" si="0"/>
        <v>-4.2463343972486598</v>
      </c>
      <c r="G20" s="7">
        <f t="shared" si="1"/>
        <v>-186.83871347894103</v>
      </c>
      <c r="H20" s="3">
        <f t="shared" si="2"/>
        <v>2.2530030045363914</v>
      </c>
      <c r="I20" s="3">
        <f t="shared" si="3"/>
        <v>2.6077568894044152</v>
      </c>
      <c r="J20">
        <f t="shared" si="4"/>
        <v>-16.639168437977897</v>
      </c>
      <c r="K20">
        <f t="shared" si="4"/>
        <v>-253.59305002527233</v>
      </c>
    </row>
    <row r="21" spans="1:11" x14ac:dyDescent="0.2">
      <c r="A21">
        <v>99</v>
      </c>
      <c r="B21">
        <v>228</v>
      </c>
      <c r="C21" s="5">
        <f t="shared" si="5"/>
        <v>2.2530030045363914</v>
      </c>
      <c r="D21" s="5">
        <f t="shared" si="5"/>
        <v>2.6077568894044152</v>
      </c>
      <c r="E21" s="5">
        <f t="shared" si="6"/>
        <v>260.42093505557347</v>
      </c>
      <c r="F21" s="7">
        <f t="shared" si="0"/>
        <v>64.841870111146932</v>
      </c>
      <c r="G21" s="7">
        <f t="shared" si="1"/>
        <v>6419.3451410035459</v>
      </c>
      <c r="H21" s="3">
        <f t="shared" si="2"/>
        <v>2.2538521109946981</v>
      </c>
      <c r="I21" s="3">
        <f t="shared" si="3"/>
        <v>2.5663868124966545</v>
      </c>
      <c r="J21">
        <f t="shared" ref="J21:K32" si="7">J20*$J$1+$K$1*F21</f>
        <v>-8.4910645830654161</v>
      </c>
      <c r="K21">
        <f t="shared" si="7"/>
        <v>413.70076907760938</v>
      </c>
    </row>
    <row r="22" spans="1:11" x14ac:dyDescent="0.2">
      <c r="A22">
        <v>13</v>
      </c>
      <c r="B22">
        <v>56</v>
      </c>
      <c r="C22" s="5">
        <f t="shared" si="5"/>
        <v>2.2538521109946981</v>
      </c>
      <c r="D22" s="5">
        <f t="shared" si="5"/>
        <v>2.5663868124966545</v>
      </c>
      <c r="E22" s="5">
        <f t="shared" si="6"/>
        <v>35.616880673451206</v>
      </c>
      <c r="F22" s="7">
        <f t="shared" si="0"/>
        <v>-40.766238653097588</v>
      </c>
      <c r="G22" s="7">
        <f t="shared" si="1"/>
        <v>-529.96110249026867</v>
      </c>
      <c r="H22" s="3">
        <f t="shared" si="2"/>
        <v>2.2550239691937048</v>
      </c>
      <c r="I22" s="3">
        <f t="shared" si="3"/>
        <v>2.5344533543045724</v>
      </c>
      <c r="J22">
        <f t="shared" si="7"/>
        <v>-11.718581990068632</v>
      </c>
      <c r="K22">
        <f t="shared" si="7"/>
        <v>319.33458192082162</v>
      </c>
    </row>
    <row r="23" spans="1:11" x14ac:dyDescent="0.2">
      <c r="A23">
        <v>21</v>
      </c>
      <c r="B23">
        <v>72</v>
      </c>
      <c r="C23" s="5">
        <f t="shared" si="5"/>
        <v>2.2550239691937048</v>
      </c>
      <c r="D23" s="5">
        <f t="shared" si="5"/>
        <v>2.5344533543045724</v>
      </c>
      <c r="E23" s="5">
        <f t="shared" si="6"/>
        <v>55.47854440958973</v>
      </c>
      <c r="F23" s="7">
        <f t="shared" si="0"/>
        <v>-33.042911180820539</v>
      </c>
      <c r="G23" s="7">
        <f t="shared" si="1"/>
        <v>-693.90113479723129</v>
      </c>
      <c r="H23" s="3">
        <f t="shared" si="2"/>
        <v>2.2564090706846192</v>
      </c>
      <c r="I23" s="3">
        <f t="shared" si="3"/>
        <v>2.5126522532796707</v>
      </c>
      <c r="J23">
        <f t="shared" si="7"/>
        <v>-13.851014909143823</v>
      </c>
      <c r="K23">
        <f t="shared" si="7"/>
        <v>218.01101024901638</v>
      </c>
    </row>
    <row r="24" spans="1:11" x14ac:dyDescent="0.2">
      <c r="A24">
        <v>28</v>
      </c>
      <c r="B24">
        <v>86</v>
      </c>
      <c r="C24" s="5">
        <f t="shared" si="5"/>
        <v>2.2564090706846192</v>
      </c>
      <c r="D24" s="5">
        <f t="shared" si="5"/>
        <v>2.5126522532796707</v>
      </c>
      <c r="E24" s="5">
        <f t="shared" si="6"/>
        <v>72.610672162515399</v>
      </c>
      <c r="F24" s="7">
        <f t="shared" si="0"/>
        <v>-26.778655674969201</v>
      </c>
      <c r="G24" s="7">
        <f t="shared" si="1"/>
        <v>-749.80235889913763</v>
      </c>
      <c r="H24" s="3">
        <f t="shared" si="2"/>
        <v>2.2579234485831918</v>
      </c>
      <c r="I24" s="3">
        <f t="shared" si="3"/>
        <v>2.5005292859462505</v>
      </c>
      <c r="J24">
        <f t="shared" si="7"/>
        <v>-15.14377898572636</v>
      </c>
      <c r="K24">
        <f t="shared" si="7"/>
        <v>121.229673334201</v>
      </c>
    </row>
    <row r="25" spans="1:11" x14ac:dyDescent="0.2">
      <c r="A25">
        <v>20</v>
      </c>
      <c r="B25">
        <v>70</v>
      </c>
      <c r="C25" s="5">
        <f t="shared" si="5"/>
        <v>2.2579234485831918</v>
      </c>
      <c r="D25" s="5">
        <f t="shared" si="5"/>
        <v>2.5005292859462505</v>
      </c>
      <c r="E25" s="5">
        <f t="shared" si="6"/>
        <v>52.268509167508199</v>
      </c>
      <c r="F25" s="7">
        <f t="shared" si="0"/>
        <v>-35.462981664983602</v>
      </c>
      <c r="G25" s="7">
        <f t="shared" si="1"/>
        <v>-709.25963329967203</v>
      </c>
      <c r="H25" s="3">
        <f t="shared" si="2"/>
        <v>2.2596410185085571</v>
      </c>
      <c r="I25" s="3">
        <f t="shared" si="3"/>
        <v>2.4967112116791692</v>
      </c>
      <c r="J25">
        <f t="shared" si="7"/>
        <v>-17.175699253652084</v>
      </c>
      <c r="K25">
        <f t="shared" si="7"/>
        <v>38.180742670813714</v>
      </c>
    </row>
    <row r="26" spans="1:11" x14ac:dyDescent="0.2">
      <c r="A26">
        <v>8</v>
      </c>
      <c r="B26">
        <v>46</v>
      </c>
      <c r="C26" s="5">
        <f t="shared" si="5"/>
        <v>2.2596410185085571</v>
      </c>
      <c r="D26" s="5">
        <f t="shared" si="5"/>
        <v>2.4967112116791692</v>
      </c>
      <c r="E26" s="5">
        <f t="shared" si="6"/>
        <v>22.23333071194191</v>
      </c>
      <c r="F26" s="7">
        <f t="shared" si="0"/>
        <v>-47.533338576116179</v>
      </c>
      <c r="G26" s="7">
        <f t="shared" si="1"/>
        <v>-380.26670860892943</v>
      </c>
      <c r="H26" s="3">
        <f t="shared" si="2"/>
        <v>2.2616621648271469</v>
      </c>
      <c r="I26" s="3">
        <f t="shared" si="3"/>
        <v>2.4970776119248854</v>
      </c>
      <c r="J26">
        <f t="shared" si="7"/>
        <v>-20.211463185898495</v>
      </c>
      <c r="K26">
        <f t="shared" si="7"/>
        <v>-3.664002457160592</v>
      </c>
    </row>
    <row r="27" spans="1:11" x14ac:dyDescent="0.2">
      <c r="A27">
        <v>64</v>
      </c>
      <c r="B27">
        <v>158</v>
      </c>
      <c r="C27" s="5">
        <f t="shared" si="5"/>
        <v>2.2616621648271469</v>
      </c>
      <c r="D27" s="5">
        <f t="shared" si="5"/>
        <v>2.4970776119248854</v>
      </c>
      <c r="E27" s="5">
        <f t="shared" si="6"/>
        <v>162.07462932801982</v>
      </c>
      <c r="F27" s="7">
        <f t="shared" si="0"/>
        <v>8.1492586560396489</v>
      </c>
      <c r="G27" s="7">
        <f t="shared" si="1"/>
        <v>521.55255398653753</v>
      </c>
      <c r="H27" s="3">
        <f t="shared" si="2"/>
        <v>2.2633997039273175</v>
      </c>
      <c r="I27" s="3">
        <f t="shared" si="3"/>
        <v>2.4921918466061643</v>
      </c>
      <c r="J27">
        <f t="shared" si="7"/>
        <v>-17.375391001704681</v>
      </c>
      <c r="K27">
        <f t="shared" si="7"/>
        <v>48.857653187209209</v>
      </c>
    </row>
    <row r="28" spans="1:11" x14ac:dyDescent="0.2">
      <c r="A28">
        <v>99</v>
      </c>
      <c r="B28">
        <v>228</v>
      </c>
      <c r="C28" s="5">
        <f t="shared" si="5"/>
        <v>2.2633997039273175</v>
      </c>
      <c r="D28" s="5">
        <f t="shared" si="5"/>
        <v>2.4921918466061643</v>
      </c>
      <c r="E28" s="5">
        <f t="shared" si="6"/>
        <v>248.99039251793758</v>
      </c>
      <c r="F28" s="7">
        <f t="shared" si="0"/>
        <v>41.980785035875158</v>
      </c>
      <c r="G28" s="7">
        <f t="shared" si="1"/>
        <v>4156.0977185516404</v>
      </c>
      <c r="H28" s="3">
        <f t="shared" si="2"/>
        <v>2.2645436812671123</v>
      </c>
      <c r="I28" s="3">
        <f t="shared" si="3"/>
        <v>2.446233680633799</v>
      </c>
      <c r="J28">
        <f t="shared" si="7"/>
        <v>-11.439773397946698</v>
      </c>
      <c r="K28">
        <f t="shared" si="7"/>
        <v>459.58165972365225</v>
      </c>
    </row>
    <row r="29" spans="1:11" x14ac:dyDescent="0.2">
      <c r="A29">
        <v>70</v>
      </c>
      <c r="B29">
        <v>170</v>
      </c>
      <c r="C29" s="5">
        <f t="shared" si="5"/>
        <v>2.2645436812671123</v>
      </c>
      <c r="D29" s="5">
        <f t="shared" si="5"/>
        <v>2.446233680633799</v>
      </c>
      <c r="E29" s="5">
        <f t="shared" si="6"/>
        <v>173.50090132563304</v>
      </c>
      <c r="F29" s="7">
        <f t="shared" si="0"/>
        <v>7.0018026512660754</v>
      </c>
      <c r="G29" s="7">
        <f t="shared" si="1"/>
        <v>490.12618558862528</v>
      </c>
      <c r="H29" s="3">
        <f t="shared" si="2"/>
        <v>2.2655032428464148</v>
      </c>
      <c r="I29" s="3">
        <f t="shared" si="3"/>
        <v>2.3999700694027841</v>
      </c>
      <c r="J29">
        <f t="shared" si="7"/>
        <v>-9.59561579302542</v>
      </c>
      <c r="K29">
        <f t="shared" si="7"/>
        <v>462.63611231014954</v>
      </c>
    </row>
    <row r="30" spans="1:11" x14ac:dyDescent="0.2">
      <c r="A30">
        <v>27</v>
      </c>
      <c r="B30">
        <v>84</v>
      </c>
      <c r="C30" s="5">
        <f t="shared" si="5"/>
        <v>2.2655032428464148</v>
      </c>
      <c r="D30" s="5">
        <f t="shared" si="5"/>
        <v>2.3999700694027841</v>
      </c>
      <c r="E30" s="5">
        <f t="shared" si="6"/>
        <v>67.064695116721595</v>
      </c>
      <c r="F30" s="7">
        <f t="shared" si="0"/>
        <v>-33.870609766556811</v>
      </c>
      <c r="G30" s="7">
        <f t="shared" si="1"/>
        <v>-914.50646369703395</v>
      </c>
      <c r="H30" s="3">
        <f t="shared" si="2"/>
        <v>2.2667055543654526</v>
      </c>
      <c r="I30" s="3">
        <f t="shared" si="3"/>
        <v>2.3674778839318411</v>
      </c>
      <c r="J30">
        <f t="shared" si="7"/>
        <v>-12.02311519037856</v>
      </c>
      <c r="K30">
        <f t="shared" si="7"/>
        <v>324.92185470943127</v>
      </c>
    </row>
    <row r="31" spans="1:11" x14ac:dyDescent="0.2">
      <c r="A31">
        <v>17</v>
      </c>
      <c r="B31">
        <v>64</v>
      </c>
      <c r="C31" s="5">
        <f t="shared" si="5"/>
        <v>2.2667055543654526</v>
      </c>
      <c r="D31" s="5">
        <f t="shared" si="5"/>
        <v>2.3674778839318411</v>
      </c>
      <c r="E31" s="5">
        <f t="shared" si="6"/>
        <v>42.51382958120675</v>
      </c>
      <c r="F31" s="7">
        <f t="shared" si="0"/>
        <v>-42.972340837586501</v>
      </c>
      <c r="G31" s="7">
        <f t="shared" si="1"/>
        <v>-730.52979423897045</v>
      </c>
      <c r="H31" s="3">
        <f t="shared" si="2"/>
        <v>2.2682173581409626</v>
      </c>
      <c r="I31" s="3">
        <f t="shared" si="3"/>
        <v>2.3455402149503821</v>
      </c>
      <c r="J31">
        <f t="shared" si="7"/>
        <v>-15.118037755099353</v>
      </c>
      <c r="K31">
        <f t="shared" si="7"/>
        <v>219.37668981459112</v>
      </c>
    </row>
    <row r="32" spans="1:11" x14ac:dyDescent="0.2">
      <c r="A32">
        <v>8</v>
      </c>
      <c r="B32">
        <v>46</v>
      </c>
      <c r="C32" s="5">
        <f t="shared" si="5"/>
        <v>2.2682173581409626</v>
      </c>
      <c r="D32" s="5">
        <f t="shared" si="5"/>
        <v>2.3455402149503821</v>
      </c>
      <c r="E32" s="5">
        <f t="shared" si="6"/>
        <v>21.032539077744019</v>
      </c>
      <c r="F32" s="7">
        <f t="shared" si="0"/>
        <v>-49.934921844511962</v>
      </c>
      <c r="G32" s="7">
        <f t="shared" si="1"/>
        <v>-399.47937475609569</v>
      </c>
      <c r="H32" s="3">
        <f t="shared" si="2"/>
        <v>2.2700773307573665</v>
      </c>
      <c r="I32" s="3">
        <f t="shared" si="3"/>
        <v>2.3297911066146297</v>
      </c>
      <c r="J32">
        <f t="shared" si="7"/>
        <v>-18.599726164040611</v>
      </c>
      <c r="K32">
        <f t="shared" si="7"/>
        <v>157.49108335752246</v>
      </c>
    </row>
    <row r="33" spans="1:13" x14ac:dyDescent="0.2">
      <c r="A33" s="7"/>
      <c r="B33" s="7"/>
      <c r="H33" s="3"/>
      <c r="J33">
        <v>-18.631348884757422</v>
      </c>
      <c r="K33">
        <v>157.75884517833853</v>
      </c>
      <c r="M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grad" enableFormatConditionsCalculation="0"/>
  <dimension ref="A1:K33"/>
  <sheetViews>
    <sheetView zoomScale="120" zoomScaleNormal="130" zoomScalePageLayoutView="130" workbookViewId="0">
      <pane xSplit="3" ySplit="3" topLeftCell="D10"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1.83203125" bestFit="1" customWidth="1"/>
    <col min="11" max="11" width="4.1640625" bestFit="1" customWidth="1"/>
  </cols>
  <sheetData>
    <row r="1" spans="1:9" x14ac:dyDescent="0.2">
      <c r="B1" s="11" t="s">
        <v>21</v>
      </c>
      <c r="C1" s="5">
        <v>3.3760628354994773</v>
      </c>
      <c r="D1" s="12" t="s">
        <v>14</v>
      </c>
      <c r="F1" s="7">
        <v>5.4337420777538838</v>
      </c>
      <c r="G1" s="7">
        <v>226.22623811947275</v>
      </c>
    </row>
    <row r="2" spans="1:9" x14ac:dyDescent="0.2">
      <c r="B2" s="11" t="s">
        <v>22</v>
      </c>
      <c r="C2" s="5">
        <v>2.44190495285401</v>
      </c>
      <c r="D2">
        <v>1E-3</v>
      </c>
      <c r="F2" s="9">
        <f>$D$2/F1</f>
        <v>1.8403523496156898E-4</v>
      </c>
      <c r="G2" s="9">
        <f>$D$2/G1</f>
        <v>4.4203537499124577E-6</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3.3760628354994773</v>
      </c>
      <c r="D4" s="5">
        <f>C2</f>
        <v>2.44190495285401</v>
      </c>
      <c r="E4" s="5">
        <f>C4+D4*A4</f>
        <v>37.562732175455615</v>
      </c>
      <c r="F4" s="7">
        <f t="shared" ref="F4:F32" si="0">2*(D4*A4+C4-B4)</f>
        <v>-40.87453564908877</v>
      </c>
      <c r="G4" s="7">
        <f t="shared" ref="G4:G32" si="1">F4*A4</f>
        <v>-572.24349908724275</v>
      </c>
      <c r="H4" s="3">
        <f>C4-F4*F$2</f>
        <v>3.3835851902716025</v>
      </c>
      <c r="I4" s="3">
        <f t="shared" ref="I4:I32" si="2">D4-G4*G$2</f>
        <v>2.4444344715510633</v>
      </c>
    </row>
    <row r="5" spans="1:9" x14ac:dyDescent="0.2">
      <c r="A5">
        <v>86</v>
      </c>
      <c r="B5">
        <v>202</v>
      </c>
      <c r="C5" s="5">
        <f>H4</f>
        <v>3.3835851902716025</v>
      </c>
      <c r="D5" s="5">
        <f>I4</f>
        <v>2.4444344715510633</v>
      </c>
      <c r="E5" s="5">
        <f>C5+D5*A5</f>
        <v>213.60494974366304</v>
      </c>
      <c r="F5" s="7">
        <f t="shared" si="0"/>
        <v>23.209899487326084</v>
      </c>
      <c r="G5" s="7">
        <f t="shared" si="1"/>
        <v>1996.0513559100432</v>
      </c>
      <c r="H5" s="3">
        <f t="shared" ref="H4:H32" si="3">C5-F5*F$2</f>
        <v>3.379313750966018</v>
      </c>
      <c r="I5" s="3">
        <f t="shared" si="2"/>
        <v>2.4356112184549485</v>
      </c>
    </row>
    <row r="6" spans="1:9" x14ac:dyDescent="0.2">
      <c r="A6">
        <v>28</v>
      </c>
      <c r="B6">
        <v>86</v>
      </c>
      <c r="C6" s="5">
        <f>H5</f>
        <v>3.379313750966018</v>
      </c>
      <c r="D6" s="5">
        <f>I5</f>
        <v>2.4356112184549485</v>
      </c>
      <c r="E6" s="5">
        <f>C6+D6*A6</f>
        <v>71.576427867704581</v>
      </c>
      <c r="F6" s="7">
        <f t="shared" si="0"/>
        <v>-28.847144264590838</v>
      </c>
      <c r="G6" s="7">
        <f t="shared" si="1"/>
        <v>-807.72003940854347</v>
      </c>
      <c r="H6" s="3">
        <f>C6-F6*F$2</f>
        <v>3.3846226419387224</v>
      </c>
      <c r="I6" s="3">
        <f t="shared" si="2"/>
        <v>2.4391816267600275</v>
      </c>
    </row>
    <row r="7" spans="1:9" x14ac:dyDescent="0.2">
      <c r="A7">
        <v>51</v>
      </c>
      <c r="B7">
        <v>132</v>
      </c>
      <c r="C7" s="5">
        <f t="shared" ref="C7:C32" si="4">H6</f>
        <v>3.3846226419387224</v>
      </c>
      <c r="D7" s="5">
        <f t="shared" ref="D7:D32" si="5">I6</f>
        <v>2.4391816267600275</v>
      </c>
      <c r="E7" s="5">
        <f t="shared" ref="E7:E32" si="6">C7+D7*A7</f>
        <v>127.78288560670012</v>
      </c>
      <c r="F7" s="7">
        <f t="shared" si="0"/>
        <v>-8.4342287865997605</v>
      </c>
      <c r="G7" s="7">
        <f t="shared" si="1"/>
        <v>-430.14566811658779</v>
      </c>
      <c r="H7" s="3">
        <f t="shared" si="3"/>
        <v>3.3861748372151839</v>
      </c>
      <c r="I7" s="3">
        <f t="shared" si="2"/>
        <v>2.4410830227770952</v>
      </c>
    </row>
    <row r="8" spans="1:9" x14ac:dyDescent="0.2">
      <c r="A8">
        <v>28</v>
      </c>
      <c r="B8">
        <v>86</v>
      </c>
      <c r="C8" s="5">
        <f t="shared" si="4"/>
        <v>3.3861748372151839</v>
      </c>
      <c r="D8" s="5">
        <f t="shared" si="5"/>
        <v>2.4410830227770952</v>
      </c>
      <c r="E8" s="5">
        <f t="shared" si="6"/>
        <v>71.73649947497384</v>
      </c>
      <c r="F8" s="7">
        <f t="shared" si="0"/>
        <v>-28.52700105005232</v>
      </c>
      <c r="G8" s="7">
        <f t="shared" si="1"/>
        <v>-798.75602940146496</v>
      </c>
      <c r="H8" s="3">
        <f t="shared" si="3"/>
        <v>3.3914248105561793</v>
      </c>
      <c r="I8" s="3">
        <f t="shared" si="2"/>
        <v>2.4446138069869252</v>
      </c>
    </row>
    <row r="9" spans="1:9" x14ac:dyDescent="0.2">
      <c r="A9">
        <v>29</v>
      </c>
      <c r="B9">
        <v>88</v>
      </c>
      <c r="C9" s="5">
        <f t="shared" si="4"/>
        <v>3.3914248105561793</v>
      </c>
      <c r="D9" s="5">
        <f t="shared" si="5"/>
        <v>2.4446138069869252</v>
      </c>
      <c r="E9" s="5">
        <f t="shared" si="6"/>
        <v>74.285225213177</v>
      </c>
      <c r="F9" s="7">
        <f t="shared" si="0"/>
        <v>-27.429549573646</v>
      </c>
      <c r="G9" s="7">
        <f t="shared" si="1"/>
        <v>-795.45693763573399</v>
      </c>
      <c r="H9" s="3">
        <f t="shared" si="3"/>
        <v>3.3964728141568554</v>
      </c>
      <c r="I9" s="3">
        <f t="shared" si="2"/>
        <v>2.4481300080440973</v>
      </c>
    </row>
    <row r="10" spans="1:9" x14ac:dyDescent="0.2">
      <c r="A10">
        <v>72</v>
      </c>
      <c r="B10">
        <v>174</v>
      </c>
      <c r="C10" s="5">
        <f t="shared" si="4"/>
        <v>3.3964728141568554</v>
      </c>
      <c r="D10" s="5">
        <f t="shared" si="5"/>
        <v>2.4481300080440973</v>
      </c>
      <c r="E10" s="5">
        <f t="shared" si="6"/>
        <v>179.66183339333185</v>
      </c>
      <c r="F10" s="7">
        <f t="shared" si="0"/>
        <v>11.323666786663694</v>
      </c>
      <c r="G10" s="7">
        <f t="shared" si="1"/>
        <v>815.30400863978593</v>
      </c>
      <c r="H10" s="3">
        <f t="shared" si="3"/>
        <v>3.3943888604791455</v>
      </c>
      <c r="I10" s="3">
        <f t="shared" si="2"/>
        <v>2.4445260759121878</v>
      </c>
    </row>
    <row r="11" spans="1:9" x14ac:dyDescent="0.2">
      <c r="A11">
        <v>62</v>
      </c>
      <c r="B11">
        <v>154</v>
      </c>
      <c r="C11" s="5">
        <f t="shared" si="4"/>
        <v>3.3943888604791455</v>
      </c>
      <c r="D11" s="5">
        <f t="shared" si="5"/>
        <v>2.4445260759121878</v>
      </c>
      <c r="E11" s="5">
        <f t="shared" si="6"/>
        <v>154.95500556703479</v>
      </c>
      <c r="F11" s="7">
        <f t="shared" si="0"/>
        <v>1.9100111340695776</v>
      </c>
      <c r="G11" s="7">
        <f t="shared" si="1"/>
        <v>118.42069031231381</v>
      </c>
      <c r="H11" s="3">
        <f t="shared" si="3"/>
        <v>3.3940373511313076</v>
      </c>
      <c r="I11" s="3">
        <f t="shared" si="2"/>
        <v>2.4440026145696985</v>
      </c>
    </row>
    <row r="12" spans="1:9" x14ac:dyDescent="0.2">
      <c r="A12">
        <v>84</v>
      </c>
      <c r="B12">
        <v>198</v>
      </c>
      <c r="C12" s="5">
        <f t="shared" si="4"/>
        <v>3.3940373511313076</v>
      </c>
      <c r="D12" s="5">
        <f t="shared" si="5"/>
        <v>2.4440026145696985</v>
      </c>
      <c r="E12" s="5">
        <f t="shared" si="6"/>
        <v>208.690256974986</v>
      </c>
      <c r="F12" s="7">
        <f t="shared" si="0"/>
        <v>21.380513949971998</v>
      </c>
      <c r="G12" s="7">
        <f t="shared" si="1"/>
        <v>1795.9631717976479</v>
      </c>
      <c r="H12" s="3">
        <f t="shared" si="3"/>
        <v>3.3901025832229252</v>
      </c>
      <c r="I12" s="3">
        <f t="shared" si="2"/>
        <v>2.436063822028538</v>
      </c>
    </row>
    <row r="13" spans="1:9" x14ac:dyDescent="0.2">
      <c r="A13">
        <v>15</v>
      </c>
      <c r="B13">
        <v>60</v>
      </c>
      <c r="C13" s="5">
        <f t="shared" si="4"/>
        <v>3.3901025832229252</v>
      </c>
      <c r="D13" s="5">
        <f t="shared" si="5"/>
        <v>2.436063822028538</v>
      </c>
      <c r="E13" s="5">
        <f t="shared" si="6"/>
        <v>39.931059913650998</v>
      </c>
      <c r="F13" s="7">
        <f t="shared" si="0"/>
        <v>-40.137880172698004</v>
      </c>
      <c r="G13" s="7">
        <f t="shared" si="1"/>
        <v>-602.06820259047004</v>
      </c>
      <c r="H13" s="3">
        <f t="shared" si="3"/>
        <v>3.3974893674313669</v>
      </c>
      <c r="I13" s="3">
        <f t="shared" si="2"/>
        <v>2.438725176465562</v>
      </c>
    </row>
    <row r="14" spans="1:9" x14ac:dyDescent="0.2">
      <c r="A14">
        <v>42</v>
      </c>
      <c r="B14">
        <v>114</v>
      </c>
      <c r="C14" s="5">
        <f t="shared" si="4"/>
        <v>3.3974893674313669</v>
      </c>
      <c r="D14" s="5">
        <f t="shared" si="5"/>
        <v>2.438725176465562</v>
      </c>
      <c r="E14" s="5">
        <f t="shared" si="6"/>
        <v>105.82394677898496</v>
      </c>
      <c r="F14" s="7">
        <f t="shared" si="0"/>
        <v>-16.352106442030077</v>
      </c>
      <c r="G14" s="7">
        <f t="shared" si="1"/>
        <v>-686.7884705652632</v>
      </c>
      <c r="H14" s="3">
        <f t="shared" si="3"/>
        <v>3.4004987311825423</v>
      </c>
      <c r="I14" s="3">
        <f t="shared" si="2"/>
        <v>2.441761024456822</v>
      </c>
    </row>
    <row r="15" spans="1:9" x14ac:dyDescent="0.2">
      <c r="A15">
        <v>62</v>
      </c>
      <c r="B15">
        <v>154</v>
      </c>
      <c r="C15" s="5">
        <f t="shared" si="4"/>
        <v>3.4004987311825423</v>
      </c>
      <c r="D15" s="5">
        <f>I14</f>
        <v>2.441761024456822</v>
      </c>
      <c r="E15" s="5">
        <f t="shared" si="6"/>
        <v>154.78968224750551</v>
      </c>
      <c r="F15" s="7">
        <f t="shared" si="0"/>
        <v>1.5793644950110206</v>
      </c>
      <c r="G15" s="7">
        <f t="shared" si="1"/>
        <v>97.920598690683278</v>
      </c>
      <c r="H15" s="3">
        <f t="shared" si="3"/>
        <v>3.4002080724666128</v>
      </c>
      <c r="I15" s="3">
        <f t="shared" si="2"/>
        <v>2.4413281807712059</v>
      </c>
    </row>
    <row r="16" spans="1:9" x14ac:dyDescent="0.2">
      <c r="A16">
        <v>47</v>
      </c>
      <c r="B16">
        <v>124</v>
      </c>
      <c r="C16" s="5">
        <f t="shared" si="4"/>
        <v>3.4002080724666128</v>
      </c>
      <c r="D16" s="5">
        <f t="shared" si="5"/>
        <v>2.4413281807712059</v>
      </c>
      <c r="E16" s="5">
        <f t="shared" si="6"/>
        <v>118.1426325687133</v>
      </c>
      <c r="F16" s="7">
        <f t="shared" si="0"/>
        <v>-11.714734862573408</v>
      </c>
      <c r="G16" s="7">
        <f t="shared" si="1"/>
        <v>-550.59253854095016</v>
      </c>
      <c r="H16" s="3">
        <f t="shared" si="3"/>
        <v>3.4023639964495591</v>
      </c>
      <c r="I16" s="3">
        <f t="shared" si="2"/>
        <v>2.4437619945636193</v>
      </c>
    </row>
    <row r="17" spans="1:9" x14ac:dyDescent="0.2">
      <c r="A17">
        <v>35</v>
      </c>
      <c r="B17">
        <v>100</v>
      </c>
      <c r="C17" s="5">
        <f t="shared" si="4"/>
        <v>3.4023639964495591</v>
      </c>
      <c r="D17" s="5">
        <f t="shared" si="5"/>
        <v>2.4437619945636193</v>
      </c>
      <c r="E17" s="5">
        <f t="shared" si="6"/>
        <v>88.934033806176245</v>
      </c>
      <c r="F17" s="7">
        <f t="shared" si="0"/>
        <v>-22.13193238764751</v>
      </c>
      <c r="G17" s="7">
        <f t="shared" si="1"/>
        <v>-774.61763356766278</v>
      </c>
      <c r="H17" s="3">
        <f t="shared" si="3"/>
        <v>3.4064370518266736</v>
      </c>
      <c r="I17" s="3">
        <f t="shared" si="2"/>
        <v>2.4471860785249087</v>
      </c>
    </row>
    <row r="18" spans="1:9" x14ac:dyDescent="0.2">
      <c r="A18">
        <v>9</v>
      </c>
      <c r="B18">
        <v>48</v>
      </c>
      <c r="C18" s="5">
        <f t="shared" si="4"/>
        <v>3.4064370518266736</v>
      </c>
      <c r="D18" s="5">
        <f t="shared" si="5"/>
        <v>2.4471860785249087</v>
      </c>
      <c r="E18" s="5">
        <f t="shared" si="6"/>
        <v>25.431111758550852</v>
      </c>
      <c r="F18" s="7">
        <f t="shared" si="0"/>
        <v>-45.137776482898296</v>
      </c>
      <c r="G18" s="7">
        <f t="shared" si="1"/>
        <v>-406.23998834608466</v>
      </c>
      <c r="H18" s="3">
        <f t="shared" si="3"/>
        <v>3.4147439931273467</v>
      </c>
      <c r="I18" s="3">
        <f t="shared" si="2"/>
        <v>2.4489818029807586</v>
      </c>
    </row>
    <row r="19" spans="1:9" x14ac:dyDescent="0.2">
      <c r="A19">
        <v>38</v>
      </c>
      <c r="B19">
        <v>106</v>
      </c>
      <c r="C19" s="5">
        <f t="shared" si="4"/>
        <v>3.4147439931273467</v>
      </c>
      <c r="D19" s="5">
        <f t="shared" si="5"/>
        <v>2.4489818029807586</v>
      </c>
      <c r="E19" s="5">
        <f t="shared" si="6"/>
        <v>96.476052506396172</v>
      </c>
      <c r="F19" s="7">
        <f t="shared" si="0"/>
        <v>-19.047894987207656</v>
      </c>
      <c r="G19" s="7">
        <f t="shared" si="1"/>
        <v>-723.82000951389091</v>
      </c>
      <c r="H19" s="3">
        <f t="shared" si="3"/>
        <v>3.4182494769568406</v>
      </c>
      <c r="I19" s="3">
        <f t="shared" si="2"/>
        <v>2.4521813434740749</v>
      </c>
    </row>
    <row r="20" spans="1:9" x14ac:dyDescent="0.2">
      <c r="A20">
        <v>44</v>
      </c>
      <c r="B20">
        <v>118</v>
      </c>
      <c r="C20" s="5">
        <f t="shared" si="4"/>
        <v>3.4182494769568406</v>
      </c>
      <c r="D20" s="5">
        <f t="shared" si="5"/>
        <v>2.4521813434740749</v>
      </c>
      <c r="E20" s="5">
        <f t="shared" si="6"/>
        <v>111.31422858981614</v>
      </c>
      <c r="F20" s="7">
        <f t="shared" si="0"/>
        <v>-13.371542820367722</v>
      </c>
      <c r="G20" s="7">
        <f t="shared" si="1"/>
        <v>-588.34788409617977</v>
      </c>
      <c r="H20" s="3">
        <f t="shared" si="3"/>
        <v>3.4207103119815856</v>
      </c>
      <c r="I20" s="3">
        <f t="shared" si="2"/>
        <v>2.4547820492497925</v>
      </c>
    </row>
    <row r="21" spans="1:9" x14ac:dyDescent="0.2">
      <c r="A21">
        <v>99</v>
      </c>
      <c r="B21">
        <v>228</v>
      </c>
      <c r="C21" s="5">
        <f t="shared" si="4"/>
        <v>3.4207103119815856</v>
      </c>
      <c r="D21" s="5">
        <f t="shared" si="5"/>
        <v>2.4547820492497925</v>
      </c>
      <c r="E21" s="5">
        <f t="shared" si="6"/>
        <v>246.44413318771106</v>
      </c>
      <c r="F21" s="7">
        <f t="shared" si="0"/>
        <v>36.88826637542212</v>
      </c>
      <c r="G21" s="7">
        <f t="shared" si="1"/>
        <v>3651.9383711667897</v>
      </c>
      <c r="H21" s="3">
        <f t="shared" si="3"/>
        <v>3.4139215712118598</v>
      </c>
      <c r="I21" s="3">
        <f t="shared" si="2"/>
        <v>2.4386391897763562</v>
      </c>
    </row>
    <row r="22" spans="1:9" x14ac:dyDescent="0.2">
      <c r="A22">
        <v>13</v>
      </c>
      <c r="B22">
        <v>56</v>
      </c>
      <c r="C22" s="5">
        <f t="shared" si="4"/>
        <v>3.4139215712118598</v>
      </c>
      <c r="D22" s="5">
        <f t="shared" si="5"/>
        <v>2.4386391897763562</v>
      </c>
      <c r="E22" s="5">
        <f t="shared" si="6"/>
        <v>35.116231038304491</v>
      </c>
      <c r="F22" s="7">
        <f t="shared" si="0"/>
        <v>-41.767537923391018</v>
      </c>
      <c r="G22" s="7">
        <f t="shared" si="1"/>
        <v>-542.97799300408326</v>
      </c>
      <c r="H22" s="3">
        <f t="shared" si="3"/>
        <v>3.4216082698673573</v>
      </c>
      <c r="I22" s="3">
        <f t="shared" si="2"/>
        <v>2.4410393445838516</v>
      </c>
    </row>
    <row r="23" spans="1:9" x14ac:dyDescent="0.2">
      <c r="A23">
        <v>21</v>
      </c>
      <c r="B23">
        <v>72</v>
      </c>
      <c r="C23" s="5">
        <f t="shared" si="4"/>
        <v>3.4216082698673573</v>
      </c>
      <c r="D23" s="5">
        <f t="shared" si="5"/>
        <v>2.4410393445838516</v>
      </c>
      <c r="E23" s="5">
        <f t="shared" si="6"/>
        <v>54.683434506128243</v>
      </c>
      <c r="F23" s="7">
        <f t="shared" si="0"/>
        <v>-34.633130987743513</v>
      </c>
      <c r="G23" s="7">
        <f t="shared" si="1"/>
        <v>-727.29575074261379</v>
      </c>
      <c r="H23" s="3">
        <f t="shared" si="3"/>
        <v>3.4279819862661416</v>
      </c>
      <c r="I23" s="3">
        <f t="shared" si="2"/>
        <v>2.4442542490829422</v>
      </c>
    </row>
    <row r="24" spans="1:9" x14ac:dyDescent="0.2">
      <c r="A24">
        <v>28</v>
      </c>
      <c r="B24">
        <v>86</v>
      </c>
      <c r="C24" s="5">
        <f t="shared" si="4"/>
        <v>3.4279819862661416</v>
      </c>
      <c r="D24" s="5">
        <f t="shared" si="5"/>
        <v>2.4442542490829422</v>
      </c>
      <c r="E24" s="5">
        <f t="shared" si="6"/>
        <v>71.86710096058853</v>
      </c>
      <c r="F24" s="7">
        <f t="shared" si="0"/>
        <v>-28.265798078822939</v>
      </c>
      <c r="G24" s="7">
        <f t="shared" si="1"/>
        <v>-791.44234620704231</v>
      </c>
      <c r="H24" s="3">
        <f t="shared" si="3"/>
        <v>3.4331838890569539</v>
      </c>
      <c r="I24" s="3">
        <f t="shared" si="2"/>
        <v>2.447752704225838</v>
      </c>
    </row>
    <row r="25" spans="1:9" x14ac:dyDescent="0.2">
      <c r="A25">
        <v>20</v>
      </c>
      <c r="B25">
        <v>70</v>
      </c>
      <c r="C25" s="5">
        <f t="shared" si="4"/>
        <v>3.4331838890569539</v>
      </c>
      <c r="D25" s="5">
        <f t="shared" si="5"/>
        <v>2.447752704225838</v>
      </c>
      <c r="E25" s="5">
        <f t="shared" si="6"/>
        <v>52.388237973573716</v>
      </c>
      <c r="F25" s="7">
        <f t="shared" si="0"/>
        <v>-35.223524052852568</v>
      </c>
      <c r="G25" s="7">
        <f t="shared" si="1"/>
        <v>-704.4704810570513</v>
      </c>
      <c r="H25" s="3">
        <f t="shared" si="3"/>
        <v>3.4396662585821951</v>
      </c>
      <c r="I25" s="3">
        <f t="shared" si="2"/>
        <v>2.4508667129584811</v>
      </c>
    </row>
    <row r="26" spans="1:9" x14ac:dyDescent="0.2">
      <c r="A26">
        <v>8</v>
      </c>
      <c r="B26">
        <v>46</v>
      </c>
      <c r="C26" s="5">
        <f t="shared" si="4"/>
        <v>3.4396662585821951</v>
      </c>
      <c r="D26" s="5">
        <f t="shared" si="5"/>
        <v>2.4508667129584811</v>
      </c>
      <c r="E26" s="5">
        <f t="shared" si="6"/>
        <v>23.046599962250045</v>
      </c>
      <c r="F26" s="7">
        <f t="shared" si="0"/>
        <v>-45.906800075499909</v>
      </c>
      <c r="G26" s="7">
        <f t="shared" si="1"/>
        <v>-367.25440060399927</v>
      </c>
      <c r="H26" s="3">
        <f t="shared" si="3"/>
        <v>3.4481147273204233</v>
      </c>
      <c r="I26" s="3">
        <f t="shared" si="2"/>
        <v>2.4524901073253629</v>
      </c>
    </row>
    <row r="27" spans="1:9" x14ac:dyDescent="0.2">
      <c r="A27">
        <v>64</v>
      </c>
      <c r="B27">
        <v>158</v>
      </c>
      <c r="C27" s="5">
        <f t="shared" si="4"/>
        <v>3.4481147273204233</v>
      </c>
      <c r="D27" s="5">
        <f t="shared" si="5"/>
        <v>2.4524901073253629</v>
      </c>
      <c r="E27" s="5">
        <f t="shared" si="6"/>
        <v>160.40748159614364</v>
      </c>
      <c r="F27" s="7">
        <f t="shared" si="0"/>
        <v>4.81496319228728</v>
      </c>
      <c r="G27" s="7">
        <f t="shared" si="1"/>
        <v>308.15764430638592</v>
      </c>
      <c r="H27" s="3">
        <f t="shared" si="3"/>
        <v>3.4472286044379996</v>
      </c>
      <c r="I27" s="3">
        <f t="shared" si="2"/>
        <v>2.451127941526789</v>
      </c>
    </row>
    <row r="28" spans="1:9" x14ac:dyDescent="0.2">
      <c r="A28">
        <v>99</v>
      </c>
      <c r="B28">
        <v>228</v>
      </c>
      <c r="C28" s="5">
        <f t="shared" si="4"/>
        <v>3.4472286044379996</v>
      </c>
      <c r="D28" s="5">
        <f t="shared" si="5"/>
        <v>2.451127941526789</v>
      </c>
      <c r="E28" s="5">
        <f t="shared" si="6"/>
        <v>246.10889481559013</v>
      </c>
      <c r="F28" s="7">
        <f t="shared" si="0"/>
        <v>36.217789631180267</v>
      </c>
      <c r="G28" s="7">
        <f t="shared" si="1"/>
        <v>3585.5611734868462</v>
      </c>
      <c r="H28" s="3">
        <f t="shared" si="3"/>
        <v>3.4405632550134366</v>
      </c>
      <c r="I28" s="3">
        <f t="shared" si="2"/>
        <v>2.4352784927480258</v>
      </c>
    </row>
    <row r="29" spans="1:9" x14ac:dyDescent="0.2">
      <c r="A29">
        <v>70</v>
      </c>
      <c r="B29">
        <v>170</v>
      </c>
      <c r="C29" s="5">
        <f t="shared" si="4"/>
        <v>3.4405632550134366</v>
      </c>
      <c r="D29" s="5">
        <f t="shared" si="5"/>
        <v>2.4352784927480258</v>
      </c>
      <c r="E29" s="5">
        <f t="shared" si="6"/>
        <v>173.91005774737525</v>
      </c>
      <c r="F29" s="7">
        <f t="shared" si="0"/>
        <v>7.8201154947504961</v>
      </c>
      <c r="G29" s="7">
        <f t="shared" si="1"/>
        <v>547.40808463253472</v>
      </c>
      <c r="H29" s="3">
        <f t="shared" si="3"/>
        <v>3.4391240782209338</v>
      </c>
      <c r="I29" s="3">
        <f t="shared" si="2"/>
        <v>2.4328587553683878</v>
      </c>
    </row>
    <row r="30" spans="1:9" x14ac:dyDescent="0.2">
      <c r="A30">
        <v>27</v>
      </c>
      <c r="B30">
        <v>84</v>
      </c>
      <c r="C30" s="5">
        <f t="shared" si="4"/>
        <v>3.4391240782209338</v>
      </c>
      <c r="D30" s="5">
        <f t="shared" si="5"/>
        <v>2.4328587553683878</v>
      </c>
      <c r="E30" s="5">
        <f t="shared" si="6"/>
        <v>69.126310473167393</v>
      </c>
      <c r="F30" s="7">
        <f t="shared" si="0"/>
        <v>-29.747379053665213</v>
      </c>
      <c r="G30" s="7">
        <f t="shared" si="1"/>
        <v>-803.17923444896076</v>
      </c>
      <c r="H30" s="3">
        <f t="shared" si="3"/>
        <v>3.4445986441145657</v>
      </c>
      <c r="I30" s="3">
        <f t="shared" si="2"/>
        <v>2.436409091709236</v>
      </c>
    </row>
    <row r="31" spans="1:9" x14ac:dyDescent="0.2">
      <c r="A31">
        <v>17</v>
      </c>
      <c r="B31">
        <v>64</v>
      </c>
      <c r="C31" s="5">
        <f t="shared" si="4"/>
        <v>3.4445986441145657</v>
      </c>
      <c r="D31" s="5">
        <f t="shared" si="5"/>
        <v>2.436409091709236</v>
      </c>
      <c r="E31" s="5">
        <f t="shared" si="6"/>
        <v>44.863553203171577</v>
      </c>
      <c r="F31" s="7">
        <f t="shared" si="0"/>
        <v>-38.272893593656846</v>
      </c>
      <c r="G31" s="7">
        <f t="shared" si="1"/>
        <v>-650.63919109216636</v>
      </c>
      <c r="H31" s="3">
        <f t="shared" si="3"/>
        <v>3.4516422050797333</v>
      </c>
      <c r="I31" s="3">
        <f t="shared" si="2"/>
        <v>2.4392851470974204</v>
      </c>
    </row>
    <row r="32" spans="1:9" x14ac:dyDescent="0.2">
      <c r="A32">
        <v>8</v>
      </c>
      <c r="B32">
        <v>46</v>
      </c>
      <c r="C32" s="5">
        <f t="shared" si="4"/>
        <v>3.4516422050797333</v>
      </c>
      <c r="D32" s="5">
        <f t="shared" si="5"/>
        <v>2.4392851470974204</v>
      </c>
      <c r="E32" s="5">
        <f t="shared" si="6"/>
        <v>22.965923381859096</v>
      </c>
      <c r="F32" s="7">
        <f t="shared" si="0"/>
        <v>-46.068153236281809</v>
      </c>
      <c r="G32" s="7">
        <f t="shared" si="1"/>
        <v>-368.54522589025447</v>
      </c>
      <c r="H32" s="3">
        <f t="shared" si="3"/>
        <v>3.4601203684848181</v>
      </c>
      <c r="I32" s="3">
        <f t="shared" si="2"/>
        <v>2.4409142473686969</v>
      </c>
    </row>
    <row r="33" spans="1:11" x14ac:dyDescent="0.2">
      <c r="A33" s="7"/>
      <c r="B33" s="7"/>
      <c r="F33" s="7">
        <f>SQRT(SUMSQ(F4:F32))/COUNT(F4:F32)</f>
        <v>5.4166252705768692</v>
      </c>
      <c r="G33" s="7">
        <f>SQRT(SUMSQ(G4:G32))/COUNT(G4:G32)</f>
        <v>226.06398319076015</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msprop" enableFormatConditionsCalculation="0"/>
  <dimension ref="A1:K33"/>
  <sheetViews>
    <sheetView zoomScale="120" zoomScaleNormal="130" zoomScalePageLayoutView="130" workbookViewId="0">
      <pane xSplit="3" ySplit="3" topLeftCell="D10" activePane="bottomRight" state="frozen"/>
      <selection pane="topRight" activeCell="D1" sqref="D1"/>
      <selection pane="bottomLeft" activeCell="A4" sqref="A4"/>
      <selection pane="bottomRight" activeCell="I28" sqref="I28"/>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6.253207123338191</v>
      </c>
      <c r="D1" s="5" t="s">
        <v>14</v>
      </c>
      <c r="J1">
        <v>0.9</v>
      </c>
      <c r="K1">
        <f>1-J1</f>
        <v>9.9999999999999978E-2</v>
      </c>
    </row>
    <row r="2" spans="1:11" x14ac:dyDescent="0.2">
      <c r="B2" t="s">
        <v>22</v>
      </c>
      <c r="C2" s="5">
        <v>2.3560761580497007</v>
      </c>
      <c r="D2">
        <v>0.02</v>
      </c>
      <c r="F2" s="9"/>
      <c r="G2" s="9"/>
    </row>
    <row r="3" spans="1:11" s="2" customFormat="1" x14ac:dyDescent="0.2">
      <c r="A3" s="2" t="s">
        <v>15</v>
      </c>
      <c r="B3" s="2" t="s">
        <v>16</v>
      </c>
      <c r="C3" s="6" t="s">
        <v>21</v>
      </c>
      <c r="D3" s="6" t="s">
        <v>22</v>
      </c>
      <c r="E3" s="6" t="s">
        <v>18</v>
      </c>
      <c r="F3" s="8" t="s">
        <v>6</v>
      </c>
      <c r="G3" s="8" t="s">
        <v>9</v>
      </c>
      <c r="H3" s="2" t="s">
        <v>13</v>
      </c>
      <c r="I3" s="2" t="s">
        <v>12</v>
      </c>
      <c r="J3">
        <f>J33</f>
        <v>891.01957643192702</v>
      </c>
      <c r="K3">
        <f>K33</f>
        <v>1363237.844063472</v>
      </c>
    </row>
    <row r="4" spans="1:11" x14ac:dyDescent="0.2">
      <c r="A4">
        <v>14</v>
      </c>
      <c r="B4">
        <v>58</v>
      </c>
      <c r="C4" s="5">
        <f>C1</f>
        <v>6.253207123338191</v>
      </c>
      <c r="D4" s="5">
        <f>C2</f>
        <v>2.3560761580497007</v>
      </c>
      <c r="E4" s="5">
        <f>C4+D4*A4</f>
        <v>39.238273336034005</v>
      </c>
      <c r="F4" s="7">
        <f t="shared" ref="F4:F32" si="0">2*(D4*A4+C4-B4)</f>
        <v>-37.523453327931989</v>
      </c>
      <c r="G4" s="7">
        <f t="shared" ref="G4:G32" si="1">F4*A4</f>
        <v>-525.32834659104788</v>
      </c>
      <c r="H4" s="3">
        <f t="shared" ref="H4:H32" si="2">C4-F4*$D$2/SQRT(J3)</f>
        <v>6.2783485068476743</v>
      </c>
      <c r="I4" s="3">
        <f t="shared" ref="I4:I32" si="3">D4-G4*$D$2/SQRT(K3)</f>
        <v>2.365074759445509</v>
      </c>
      <c r="J4">
        <f>J3*$J$1+$K$1*F4^2</f>
        <v>942.71857375408331</v>
      </c>
      <c r="K4">
        <f t="shared" ref="K4:K32" si="4">K3*$J$1+$K$1*G4^2</f>
        <v>1254511.0468303333</v>
      </c>
    </row>
    <row r="5" spans="1:11" x14ac:dyDescent="0.2">
      <c r="A5">
        <v>86</v>
      </c>
      <c r="B5">
        <v>202</v>
      </c>
      <c r="C5" s="5">
        <f>H4</f>
        <v>6.2783485068476743</v>
      </c>
      <c r="D5" s="5">
        <f>I4</f>
        <v>2.365074759445509</v>
      </c>
      <c r="E5" s="5">
        <f>C5+D5*A5</f>
        <v>209.67477781916145</v>
      </c>
      <c r="F5" s="7">
        <f t="shared" si="0"/>
        <v>15.349555638322897</v>
      </c>
      <c r="G5" s="7">
        <f t="shared" si="1"/>
        <v>1320.0617848957691</v>
      </c>
      <c r="H5" s="3">
        <f t="shared" si="2"/>
        <v>6.2683500086842203</v>
      </c>
      <c r="I5" s="3">
        <f t="shared" si="3"/>
        <v>2.3415032708923489</v>
      </c>
      <c r="J5">
        <f t="shared" ref="J4:J32" si="5">J4*$J$1+$K$1*F5^2</f>
        <v>872.00760220807194</v>
      </c>
      <c r="K5">
        <f t="shared" si="4"/>
        <v>1303316.2537415205</v>
      </c>
    </row>
    <row r="6" spans="1:11" x14ac:dyDescent="0.2">
      <c r="A6">
        <v>28</v>
      </c>
      <c r="B6">
        <v>86</v>
      </c>
      <c r="C6" s="5">
        <f>H5</f>
        <v>6.2683500086842203</v>
      </c>
      <c r="D6" s="5">
        <f>I5</f>
        <v>2.3415032708923489</v>
      </c>
      <c r="E6" s="5">
        <f>C6+D6*A6</f>
        <v>71.830441593669988</v>
      </c>
      <c r="F6" s="7">
        <f t="shared" si="0"/>
        <v>-28.339116812660023</v>
      </c>
      <c r="G6" s="7">
        <f t="shared" si="1"/>
        <v>-793.49527075448066</v>
      </c>
      <c r="H6" s="3">
        <f t="shared" si="2"/>
        <v>6.2875435968266764</v>
      </c>
      <c r="I6" s="3">
        <f t="shared" si="3"/>
        <v>2.3554043793788906</v>
      </c>
      <c r="J6">
        <f>J5*$J$1+$K$1*F6^2</f>
        <v>865.11739615942372</v>
      </c>
      <c r="K6">
        <f>K5*$J$1+$K$1*G6^2</f>
        <v>1235948.1028383409</v>
      </c>
    </row>
    <row r="7" spans="1:11" x14ac:dyDescent="0.2">
      <c r="A7">
        <v>51</v>
      </c>
      <c r="B7">
        <v>132</v>
      </c>
      <c r="C7" s="5">
        <f t="shared" ref="C7:D32" si="6">H6</f>
        <v>6.2875435968266764</v>
      </c>
      <c r="D7" s="5">
        <f t="shared" si="6"/>
        <v>2.3554043793788906</v>
      </c>
      <c r="E7" s="5">
        <f t="shared" ref="E7:E32" si="7">C7+D7*A7</f>
        <v>126.4131669451501</v>
      </c>
      <c r="F7" s="7">
        <f t="shared" si="0"/>
        <v>-11.173666109699809</v>
      </c>
      <c r="G7" s="7">
        <f t="shared" si="1"/>
        <v>-569.85697159469032</v>
      </c>
      <c r="H7" s="3">
        <f t="shared" si="2"/>
        <v>6.2951414021719456</v>
      </c>
      <c r="I7" s="3">
        <f t="shared" si="3"/>
        <v>2.3656560759580612</v>
      </c>
      <c r="J7">
        <f t="shared" si="5"/>
        <v>791.09073797658675</v>
      </c>
      <c r="K7">
        <f t="shared" si="4"/>
        <v>1144826.989362014</v>
      </c>
    </row>
    <row r="8" spans="1:11" x14ac:dyDescent="0.2">
      <c r="A8">
        <v>28</v>
      </c>
      <c r="B8">
        <v>86</v>
      </c>
      <c r="C8" s="5">
        <f t="shared" si="6"/>
        <v>6.2951414021719456</v>
      </c>
      <c r="D8" s="5">
        <f t="shared" si="6"/>
        <v>2.3656560759580612</v>
      </c>
      <c r="E8" s="5">
        <f t="shared" si="7"/>
        <v>72.533511528997664</v>
      </c>
      <c r="F8" s="7">
        <f>2*(D8*A8+C8-B8)</f>
        <v>-26.932976942004672</v>
      </c>
      <c r="G8" s="7">
        <f t="shared" si="1"/>
        <v>-754.12335437613081</v>
      </c>
      <c r="H8" s="3">
        <f t="shared" si="2"/>
        <v>6.3142928320650009</v>
      </c>
      <c r="I8" s="3">
        <f t="shared" si="3"/>
        <v>2.3797522890584273</v>
      </c>
      <c r="J8">
        <f t="shared" si="5"/>
        <v>784.52018887478357</v>
      </c>
      <c r="K8">
        <f t="shared" si="4"/>
        <v>1087214.4937873634</v>
      </c>
    </row>
    <row r="9" spans="1:11" x14ac:dyDescent="0.2">
      <c r="A9">
        <v>29</v>
      </c>
      <c r="B9">
        <v>88</v>
      </c>
      <c r="C9" s="5">
        <f t="shared" si="6"/>
        <v>6.3142928320650009</v>
      </c>
      <c r="D9" s="5">
        <f t="shared" si="6"/>
        <v>2.3797522890584273</v>
      </c>
      <c r="E9" s="5">
        <f t="shared" si="7"/>
        <v>75.327109214759403</v>
      </c>
      <c r="F9" s="7">
        <f t="shared" si="0"/>
        <v>-25.345781570481194</v>
      </c>
      <c r="G9" s="7">
        <f t="shared" si="1"/>
        <v>-735.02766554395464</v>
      </c>
      <c r="H9" s="3">
        <f t="shared" si="2"/>
        <v>6.3323909586440541</v>
      </c>
      <c r="I9" s="3">
        <f t="shared" si="3"/>
        <v>2.3938508915125114</v>
      </c>
      <c r="J9">
        <f t="shared" si="5"/>
        <v>770.30903432915966</v>
      </c>
      <c r="K9">
        <f t="shared" si="4"/>
        <v>1032519.6113201267</v>
      </c>
    </row>
    <row r="10" spans="1:11" x14ac:dyDescent="0.2">
      <c r="A10">
        <v>72</v>
      </c>
      <c r="B10">
        <v>174</v>
      </c>
      <c r="C10" s="5">
        <f t="shared" si="6"/>
        <v>6.3323909586440541</v>
      </c>
      <c r="D10" s="5">
        <f t="shared" si="6"/>
        <v>2.3938508915125114</v>
      </c>
      <c r="E10" s="5">
        <f t="shared" si="7"/>
        <v>178.68965514754487</v>
      </c>
      <c r="F10" s="7">
        <f t="shared" si="0"/>
        <v>9.3793102950897378</v>
      </c>
      <c r="G10" s="7">
        <f t="shared" si="1"/>
        <v>675.31034124646112</v>
      </c>
      <c r="H10" s="3">
        <f t="shared" si="2"/>
        <v>6.3256321771884974</v>
      </c>
      <c r="I10" s="3">
        <f t="shared" si="3"/>
        <v>2.3805590779413599</v>
      </c>
      <c r="J10">
        <f t="shared" si="5"/>
        <v>702.07527705740142</v>
      </c>
      <c r="K10">
        <f t="shared" si="4"/>
        <v>974872.05588755524</v>
      </c>
    </row>
    <row r="11" spans="1:11" x14ac:dyDescent="0.2">
      <c r="A11">
        <v>62</v>
      </c>
      <c r="B11">
        <v>154</v>
      </c>
      <c r="C11" s="5">
        <f t="shared" si="6"/>
        <v>6.3256321771884974</v>
      </c>
      <c r="D11" s="5">
        <f t="shared" si="6"/>
        <v>2.3805590779413599</v>
      </c>
      <c r="E11" s="5">
        <f t="shared" si="7"/>
        <v>153.92029500955283</v>
      </c>
      <c r="F11" s="7">
        <f t="shared" si="0"/>
        <v>-0.15940998089433833</v>
      </c>
      <c r="G11" s="7">
        <f t="shared" si="1"/>
        <v>-9.8834188154489766</v>
      </c>
      <c r="H11" s="3">
        <f t="shared" si="2"/>
        <v>6.3257525015775951</v>
      </c>
      <c r="I11" s="3">
        <f t="shared" si="3"/>
        <v>2.3807592776236812</v>
      </c>
      <c r="J11">
        <f t="shared" si="5"/>
        <v>631.87029050586216</v>
      </c>
      <c r="K11">
        <f t="shared" si="4"/>
        <v>877394.61849554779</v>
      </c>
    </row>
    <row r="12" spans="1:11" x14ac:dyDescent="0.2">
      <c r="A12">
        <v>84</v>
      </c>
      <c r="B12">
        <v>198</v>
      </c>
      <c r="C12" s="5">
        <f t="shared" si="6"/>
        <v>6.3257525015775951</v>
      </c>
      <c r="D12" s="5">
        <f t="shared" si="6"/>
        <v>2.3807592776236812</v>
      </c>
      <c r="E12" s="5">
        <f t="shared" si="7"/>
        <v>206.30953182196683</v>
      </c>
      <c r="F12" s="7">
        <f t="shared" si="0"/>
        <v>16.619063643933657</v>
      </c>
      <c r="G12" s="7">
        <f t="shared" si="1"/>
        <v>1396.0013460904272</v>
      </c>
      <c r="H12" s="3">
        <f t="shared" si="2"/>
        <v>6.3125297274716425</v>
      </c>
      <c r="I12" s="3">
        <f t="shared" si="3"/>
        <v>2.3509522719974791</v>
      </c>
      <c r="J12">
        <f t="shared" si="5"/>
        <v>596.3025890953877</v>
      </c>
      <c r="K12">
        <f t="shared" si="4"/>
        <v>984537.13247462141</v>
      </c>
    </row>
    <row r="13" spans="1:11" x14ac:dyDescent="0.2">
      <c r="A13">
        <v>15</v>
      </c>
      <c r="B13">
        <v>60</v>
      </c>
      <c r="C13" s="5">
        <f t="shared" si="6"/>
        <v>6.3125297274716425</v>
      </c>
      <c r="D13" s="5">
        <f t="shared" si="6"/>
        <v>2.3509522719974791</v>
      </c>
      <c r="E13" s="5">
        <f t="shared" si="7"/>
        <v>41.57681380743383</v>
      </c>
      <c r="F13" s="7">
        <f t="shared" si="0"/>
        <v>-36.846372385132341</v>
      </c>
      <c r="G13" s="7">
        <f t="shared" si="1"/>
        <v>-552.69558577698513</v>
      </c>
      <c r="H13" s="3">
        <f t="shared" si="2"/>
        <v>6.3427077921578894</v>
      </c>
      <c r="I13" s="3">
        <f t="shared" si="3"/>
        <v>2.3620926503683184</v>
      </c>
      <c r="J13">
        <f t="shared" si="5"/>
        <v>672.43784598023331</v>
      </c>
      <c r="K13">
        <f t="shared" si="4"/>
        <v>916630.66028089565</v>
      </c>
    </row>
    <row r="14" spans="1:11" x14ac:dyDescent="0.2">
      <c r="A14">
        <v>42</v>
      </c>
      <c r="B14">
        <v>114</v>
      </c>
      <c r="C14" s="5">
        <f t="shared" si="6"/>
        <v>6.3427077921578894</v>
      </c>
      <c r="D14" s="5">
        <f t="shared" si="6"/>
        <v>2.3620926503683184</v>
      </c>
      <c r="E14" s="5">
        <f t="shared" si="7"/>
        <v>105.55059910762726</v>
      </c>
      <c r="F14" s="7">
        <f t="shared" si="0"/>
        <v>-16.898801784745473</v>
      </c>
      <c r="G14" s="7">
        <f t="shared" si="1"/>
        <v>-709.74967495930991</v>
      </c>
      <c r="H14" s="3">
        <f t="shared" si="2"/>
        <v>6.3557412554589678</v>
      </c>
      <c r="I14" s="3">
        <f t="shared" si="3"/>
        <v>2.3769191287288094</v>
      </c>
      <c r="J14">
        <f t="shared" si="5"/>
        <v>633.75101155822165</v>
      </c>
      <c r="K14">
        <f t="shared" si="4"/>
        <v>875342.05436329078</v>
      </c>
    </row>
    <row r="15" spans="1:11" x14ac:dyDescent="0.2">
      <c r="A15">
        <v>62</v>
      </c>
      <c r="B15">
        <v>154</v>
      </c>
      <c r="C15" s="5">
        <f t="shared" si="6"/>
        <v>6.3557412554589678</v>
      </c>
      <c r="D15" s="5">
        <f>I14</f>
        <v>2.3769191287288094</v>
      </c>
      <c r="E15" s="5">
        <f t="shared" si="7"/>
        <v>153.72472723664515</v>
      </c>
      <c r="F15" s="7">
        <f t="shared" si="0"/>
        <v>-0.5505455267096977</v>
      </c>
      <c r="G15" s="7">
        <f t="shared" si="1"/>
        <v>-34.133822656001257</v>
      </c>
      <c r="H15" s="3">
        <f t="shared" si="2"/>
        <v>6.3561786404752922</v>
      </c>
      <c r="I15" s="3">
        <f t="shared" si="3"/>
        <v>2.3776487979486056</v>
      </c>
      <c r="J15">
        <f t="shared" si="5"/>
        <v>570.40622044009751</v>
      </c>
      <c r="K15">
        <f t="shared" si="4"/>
        <v>787924.36071187293</v>
      </c>
    </row>
    <row r="16" spans="1:11" x14ac:dyDescent="0.2">
      <c r="A16">
        <v>47</v>
      </c>
      <c r="B16">
        <v>124</v>
      </c>
      <c r="C16" s="5">
        <f t="shared" si="6"/>
        <v>6.3561786404752922</v>
      </c>
      <c r="D16" s="5">
        <f t="shared" si="6"/>
        <v>2.3776487979486056</v>
      </c>
      <c r="E16" s="5">
        <f t="shared" si="7"/>
        <v>118.10567214405975</v>
      </c>
      <c r="F16" s="7">
        <f t="shared" si="0"/>
        <v>-11.788655711880494</v>
      </c>
      <c r="G16" s="7">
        <f t="shared" si="1"/>
        <v>-554.0668184583833</v>
      </c>
      <c r="H16" s="3">
        <f t="shared" si="2"/>
        <v>6.3660505724364267</v>
      </c>
      <c r="I16" s="3">
        <f t="shared" si="3"/>
        <v>2.390132686241166</v>
      </c>
      <c r="J16">
        <f t="shared" si="5"/>
        <v>527.26283874541298</v>
      </c>
      <c r="K16">
        <f t="shared" si="4"/>
        <v>739830.92857234518</v>
      </c>
    </row>
    <row r="17" spans="1:11" x14ac:dyDescent="0.2">
      <c r="A17">
        <v>35</v>
      </c>
      <c r="B17">
        <v>100</v>
      </c>
      <c r="C17" s="5">
        <f t="shared" si="6"/>
        <v>6.3660505724364267</v>
      </c>
      <c r="D17" s="5">
        <f t="shared" si="6"/>
        <v>2.390132686241166</v>
      </c>
      <c r="E17" s="5">
        <f t="shared" si="7"/>
        <v>90.020694590877227</v>
      </c>
      <c r="F17" s="7">
        <f t="shared" si="0"/>
        <v>-19.958610818245546</v>
      </c>
      <c r="G17" s="7">
        <f t="shared" si="1"/>
        <v>-698.55137863859409</v>
      </c>
      <c r="H17" s="3">
        <f t="shared" si="2"/>
        <v>6.3834344527662248</v>
      </c>
      <c r="I17" s="3">
        <f t="shared" si="3"/>
        <v>2.4063755315500064</v>
      </c>
      <c r="J17">
        <f t="shared" si="5"/>
        <v>514.37116945029049</v>
      </c>
      <c r="K17">
        <f t="shared" si="4"/>
        <v>714645.23857489869</v>
      </c>
    </row>
    <row r="18" spans="1:11" x14ac:dyDescent="0.2">
      <c r="A18">
        <v>9</v>
      </c>
      <c r="B18">
        <v>48</v>
      </c>
      <c r="C18" s="5">
        <f t="shared" si="6"/>
        <v>6.3834344527662248</v>
      </c>
      <c r="D18" s="5">
        <f t="shared" si="6"/>
        <v>2.4063755315500064</v>
      </c>
      <c r="E18" s="5">
        <f t="shared" si="7"/>
        <v>28.04081423671628</v>
      </c>
      <c r="F18" s="7">
        <f t="shared" si="0"/>
        <v>-39.918371526567441</v>
      </c>
      <c r="G18" s="7">
        <f t="shared" si="1"/>
        <v>-359.26534373910698</v>
      </c>
      <c r="H18" s="3">
        <f t="shared" si="2"/>
        <v>6.4186362228756693</v>
      </c>
      <c r="I18" s="3">
        <f t="shared" si="3"/>
        <v>2.4148751624899187</v>
      </c>
      <c r="J18">
        <f t="shared" si="5"/>
        <v>622.2816910385684</v>
      </c>
      <c r="K18">
        <f t="shared" si="4"/>
        <v>656087.87343860674</v>
      </c>
    </row>
    <row r="19" spans="1:11" x14ac:dyDescent="0.2">
      <c r="A19">
        <v>38</v>
      </c>
      <c r="B19">
        <v>106</v>
      </c>
      <c r="C19" s="5">
        <f t="shared" si="6"/>
        <v>6.4186362228756693</v>
      </c>
      <c r="D19" s="5">
        <f t="shared" si="6"/>
        <v>2.4148751624899187</v>
      </c>
      <c r="E19" s="5">
        <f t="shared" si="7"/>
        <v>98.183892397492571</v>
      </c>
      <c r="F19" s="7">
        <f t="shared" si="0"/>
        <v>-15.632215205014859</v>
      </c>
      <c r="G19" s="7">
        <f t="shared" si="1"/>
        <v>-594.02417779056464</v>
      </c>
      <c r="H19" s="3">
        <f t="shared" si="2"/>
        <v>6.4311692797158599</v>
      </c>
      <c r="I19" s="3">
        <f t="shared" si="3"/>
        <v>2.4295425616869566</v>
      </c>
      <c r="J19">
        <f t="shared" si="5"/>
        <v>584.49013715630144</v>
      </c>
      <c r="K19">
        <f t="shared" si="4"/>
        <v>625765.55847472174</v>
      </c>
    </row>
    <row r="20" spans="1:11" x14ac:dyDescent="0.2">
      <c r="A20">
        <v>44</v>
      </c>
      <c r="B20">
        <v>118</v>
      </c>
      <c r="C20" s="5">
        <f t="shared" si="6"/>
        <v>6.4311692797158599</v>
      </c>
      <c r="D20" s="5">
        <f t="shared" si="6"/>
        <v>2.4295425616869566</v>
      </c>
      <c r="E20" s="5">
        <f t="shared" si="7"/>
        <v>113.33104199394195</v>
      </c>
      <c r="F20" s="7">
        <f t="shared" si="0"/>
        <v>-9.3379160121160965</v>
      </c>
      <c r="G20" s="7">
        <f t="shared" si="1"/>
        <v>-410.86830453310824</v>
      </c>
      <c r="H20" s="3">
        <f t="shared" si="2"/>
        <v>6.4388941530244335</v>
      </c>
      <c r="I20" s="3">
        <f t="shared" si="3"/>
        <v>2.4399304388975884</v>
      </c>
      <c r="J20">
        <f t="shared" si="5"/>
        <v>534.76079098560467</v>
      </c>
      <c r="K20">
        <f t="shared" si="4"/>
        <v>580070.27899424068</v>
      </c>
    </row>
    <row r="21" spans="1:11" x14ac:dyDescent="0.2">
      <c r="A21">
        <v>99</v>
      </c>
      <c r="B21">
        <v>228</v>
      </c>
      <c r="C21" s="5">
        <f t="shared" si="6"/>
        <v>6.4388941530244335</v>
      </c>
      <c r="D21" s="5">
        <f t="shared" si="6"/>
        <v>2.4399304388975884</v>
      </c>
      <c r="E21" s="5">
        <f t="shared" si="7"/>
        <v>247.99200760388567</v>
      </c>
      <c r="F21" s="7">
        <f t="shared" si="0"/>
        <v>39.984015207771336</v>
      </c>
      <c r="G21" s="7">
        <f t="shared" si="1"/>
        <v>3958.4175055693622</v>
      </c>
      <c r="H21" s="3">
        <f t="shared" si="2"/>
        <v>6.4043132268174983</v>
      </c>
      <c r="I21" s="3">
        <f t="shared" si="3"/>
        <v>2.3359835998762382</v>
      </c>
      <c r="J21">
        <f t="shared" si="5"/>
        <v>641.15685910057312</v>
      </c>
      <c r="K21">
        <f t="shared" si="4"/>
        <v>2088970.1659346134</v>
      </c>
    </row>
    <row r="22" spans="1:11" x14ac:dyDescent="0.2">
      <c r="A22">
        <v>13</v>
      </c>
      <c r="B22">
        <v>56</v>
      </c>
      <c r="C22" s="5">
        <f t="shared" si="6"/>
        <v>6.4043132268174983</v>
      </c>
      <c r="D22" s="5">
        <f t="shared" si="6"/>
        <v>2.3359835998762382</v>
      </c>
      <c r="E22" s="5">
        <f t="shared" si="7"/>
        <v>36.772100025208594</v>
      </c>
      <c r="F22" s="7">
        <f t="shared" si="0"/>
        <v>-38.455799949582811</v>
      </c>
      <c r="G22" s="7">
        <f t="shared" si="1"/>
        <v>-499.92539934457653</v>
      </c>
      <c r="H22" s="3">
        <f t="shared" si="2"/>
        <v>6.4346877660907689</v>
      </c>
      <c r="I22" s="3">
        <f t="shared" si="3"/>
        <v>2.3429014170328237</v>
      </c>
      <c r="J22">
        <f t="shared" si="5"/>
        <v>724.92602816674912</v>
      </c>
      <c r="K22">
        <f t="shared" si="4"/>
        <v>1905065.6898321356</v>
      </c>
    </row>
    <row r="23" spans="1:11" x14ac:dyDescent="0.2">
      <c r="A23">
        <v>21</v>
      </c>
      <c r="B23">
        <v>72</v>
      </c>
      <c r="C23" s="5">
        <f t="shared" si="6"/>
        <v>6.4346877660907689</v>
      </c>
      <c r="D23" s="5">
        <f t="shared" si="6"/>
        <v>2.3429014170328237</v>
      </c>
      <c r="E23" s="5">
        <f t="shared" si="7"/>
        <v>55.635617523780063</v>
      </c>
      <c r="F23" s="7">
        <f t="shared" si="0"/>
        <v>-32.728764952439874</v>
      </c>
      <c r="G23" s="7">
        <f t="shared" si="1"/>
        <v>-687.30406400123741</v>
      </c>
      <c r="H23" s="3">
        <f t="shared" si="2"/>
        <v>6.458999322681704</v>
      </c>
      <c r="I23" s="3">
        <f t="shared" si="3"/>
        <v>2.3528606050138028</v>
      </c>
      <c r="J23">
        <f t="shared" si="5"/>
        <v>759.55063088127986</v>
      </c>
      <c r="K23">
        <f t="shared" si="4"/>
        <v>1761797.8084881837</v>
      </c>
    </row>
    <row r="24" spans="1:11" x14ac:dyDescent="0.2">
      <c r="A24">
        <v>28</v>
      </c>
      <c r="B24">
        <v>86</v>
      </c>
      <c r="C24" s="5">
        <f t="shared" si="6"/>
        <v>6.458999322681704</v>
      </c>
      <c r="D24" s="5">
        <f t="shared" si="6"/>
        <v>2.3528606050138028</v>
      </c>
      <c r="E24" s="5">
        <f t="shared" si="7"/>
        <v>72.339096263068186</v>
      </c>
      <c r="F24" s="7">
        <f t="shared" si="0"/>
        <v>-27.321807473863629</v>
      </c>
      <c r="G24" s="7">
        <f t="shared" si="1"/>
        <v>-765.01060926818161</v>
      </c>
      <c r="H24" s="3">
        <f t="shared" si="2"/>
        <v>6.478826507641732</v>
      </c>
      <c r="I24" s="3">
        <f t="shared" si="3"/>
        <v>2.3643876880328683</v>
      </c>
      <c r="J24">
        <f t="shared" si="5"/>
        <v>758.24368415703884</v>
      </c>
      <c r="K24">
        <f t="shared" si="4"/>
        <v>1644142.1508686526</v>
      </c>
    </row>
    <row r="25" spans="1:11" x14ac:dyDescent="0.2">
      <c r="A25">
        <v>20</v>
      </c>
      <c r="B25">
        <v>70</v>
      </c>
      <c r="C25" s="5">
        <f t="shared" si="6"/>
        <v>6.478826507641732</v>
      </c>
      <c r="D25" s="5">
        <f t="shared" si="6"/>
        <v>2.3643876880328683</v>
      </c>
      <c r="E25" s="5">
        <f t="shared" si="7"/>
        <v>53.766580268299101</v>
      </c>
      <c r="F25" s="7">
        <f t="shared" si="0"/>
        <v>-32.466839463401797</v>
      </c>
      <c r="G25" s="7">
        <f t="shared" si="1"/>
        <v>-649.336789268036</v>
      </c>
      <c r="H25" s="3">
        <f t="shared" si="2"/>
        <v>6.5024076917217091</v>
      </c>
      <c r="I25" s="3">
        <f t="shared" si="3"/>
        <v>2.3745158426611725</v>
      </c>
      <c r="J25">
        <f t="shared" si="5"/>
        <v>787.82888221556539</v>
      </c>
      <c r="K25">
        <f t="shared" si="4"/>
        <v>1521891.7623714795</v>
      </c>
    </row>
    <row r="26" spans="1:11" x14ac:dyDescent="0.2">
      <c r="A26">
        <v>8</v>
      </c>
      <c r="B26">
        <v>46</v>
      </c>
      <c r="C26" s="5">
        <f t="shared" si="6"/>
        <v>6.5024076917217091</v>
      </c>
      <c r="D26" s="5">
        <f t="shared" si="6"/>
        <v>2.3745158426611725</v>
      </c>
      <c r="E26" s="5">
        <f t="shared" si="7"/>
        <v>25.498534433011088</v>
      </c>
      <c r="F26" s="7">
        <f t="shared" si="0"/>
        <v>-41.002931133977825</v>
      </c>
      <c r="G26" s="7">
        <f t="shared" si="1"/>
        <v>-328.0234490718226</v>
      </c>
      <c r="H26" s="3">
        <f t="shared" si="2"/>
        <v>6.5316242429889817</v>
      </c>
      <c r="I26" s="3">
        <f t="shared" si="3"/>
        <v>2.3798337773985119</v>
      </c>
      <c r="J26">
        <f t="shared" si="5"/>
        <v>877.1700301517817</v>
      </c>
      <c r="K26">
        <f t="shared" si="4"/>
        <v>1380462.524448429</v>
      </c>
    </row>
    <row r="27" spans="1:11" x14ac:dyDescent="0.2">
      <c r="A27">
        <v>64</v>
      </c>
      <c r="B27">
        <v>158</v>
      </c>
      <c r="C27" s="5">
        <f t="shared" si="6"/>
        <v>6.5316242429889817</v>
      </c>
      <c r="D27" s="5">
        <f t="shared" si="6"/>
        <v>2.3798337773985119</v>
      </c>
      <c r="E27" s="5">
        <f t="shared" si="7"/>
        <v>158.84098599649374</v>
      </c>
      <c r="F27" s="7">
        <f t="shared" si="0"/>
        <v>1.681971992987485</v>
      </c>
      <c r="G27" s="7">
        <f t="shared" si="1"/>
        <v>107.64620755119904</v>
      </c>
      <c r="H27" s="3">
        <f t="shared" si="2"/>
        <v>6.53048842991564</v>
      </c>
      <c r="I27" s="3">
        <f t="shared" si="3"/>
        <v>2.3780013937022808</v>
      </c>
      <c r="J27">
        <f t="shared" si="5"/>
        <v>789.73593011512298</v>
      </c>
      <c r="K27">
        <f t="shared" si="4"/>
        <v>1243575.0426036017</v>
      </c>
    </row>
    <row r="28" spans="1:11" x14ac:dyDescent="0.2">
      <c r="A28">
        <v>99</v>
      </c>
      <c r="B28">
        <v>228</v>
      </c>
      <c r="C28" s="5">
        <f t="shared" si="6"/>
        <v>6.53048842991564</v>
      </c>
      <c r="D28" s="5">
        <f t="shared" si="6"/>
        <v>2.3780013937022808</v>
      </c>
      <c r="E28" s="5">
        <f t="shared" si="7"/>
        <v>241.95262640644142</v>
      </c>
      <c r="F28" s="7">
        <f t="shared" si="0"/>
        <v>27.90525281288285</v>
      </c>
      <c r="G28" s="7">
        <f t="shared" si="1"/>
        <v>2762.6200284754023</v>
      </c>
      <c r="H28" s="3">
        <f t="shared" si="2"/>
        <v>6.5106286236101898</v>
      </c>
      <c r="I28" s="3">
        <f t="shared" si="3"/>
        <v>2.3284546459220938</v>
      </c>
      <c r="J28">
        <f t="shared" si="5"/>
        <v>788.63265055870124</v>
      </c>
      <c r="K28">
        <f t="shared" si="4"/>
        <v>1882424.4805165846</v>
      </c>
    </row>
    <row r="29" spans="1:11" x14ac:dyDescent="0.2">
      <c r="A29">
        <v>70</v>
      </c>
      <c r="B29">
        <v>170</v>
      </c>
      <c r="C29" s="5">
        <f t="shared" si="6"/>
        <v>6.5106286236101898</v>
      </c>
      <c r="D29" s="5">
        <f t="shared" si="6"/>
        <v>2.3284546459220938</v>
      </c>
      <c r="E29" s="5">
        <f t="shared" si="7"/>
        <v>169.50245383815675</v>
      </c>
      <c r="F29" s="7">
        <f t="shared" si="0"/>
        <v>-0.99509232368649236</v>
      </c>
      <c r="G29" s="7">
        <f t="shared" si="1"/>
        <v>-69.656462658054465</v>
      </c>
      <c r="H29" s="3">
        <f t="shared" si="2"/>
        <v>6.5113373131047299</v>
      </c>
      <c r="I29" s="3">
        <f t="shared" si="3"/>
        <v>2.329470035334511</v>
      </c>
      <c r="J29">
        <f t="shared" si="5"/>
        <v>709.86840637609714</v>
      </c>
      <c r="K29">
        <f t="shared" si="4"/>
        <v>1694667.2347439295</v>
      </c>
    </row>
    <row r="30" spans="1:11" x14ac:dyDescent="0.2">
      <c r="A30">
        <v>27</v>
      </c>
      <c r="B30">
        <v>84</v>
      </c>
      <c r="C30" s="5">
        <f t="shared" si="6"/>
        <v>6.5113373131047299</v>
      </c>
      <c r="D30" s="5">
        <f t="shared" si="6"/>
        <v>2.329470035334511</v>
      </c>
      <c r="E30" s="5">
        <f t="shared" si="7"/>
        <v>69.407028267136525</v>
      </c>
      <c r="F30" s="7">
        <f t="shared" si="0"/>
        <v>-29.18594346572695</v>
      </c>
      <c r="G30" s="7">
        <f t="shared" si="1"/>
        <v>-788.02047357462766</v>
      </c>
      <c r="H30" s="3">
        <f t="shared" si="2"/>
        <v>6.5332459223085122</v>
      </c>
      <c r="I30" s="3">
        <f t="shared" si="3"/>
        <v>2.3415767213813519</v>
      </c>
      <c r="J30">
        <f t="shared" si="5"/>
        <v>724.06349533694834</v>
      </c>
      <c r="K30">
        <f t="shared" si="4"/>
        <v>1587298.1379468145</v>
      </c>
    </row>
    <row r="31" spans="1:11" x14ac:dyDescent="0.2">
      <c r="A31">
        <v>17</v>
      </c>
      <c r="B31">
        <v>64</v>
      </c>
      <c r="C31" s="5">
        <f t="shared" si="6"/>
        <v>6.5332459223085122</v>
      </c>
      <c r="D31" s="5">
        <f t="shared" si="6"/>
        <v>2.3415767213813519</v>
      </c>
      <c r="E31" s="5">
        <f t="shared" si="7"/>
        <v>46.34005018579149</v>
      </c>
      <c r="F31" s="7">
        <f t="shared" si="0"/>
        <v>-35.319899628417019</v>
      </c>
      <c r="G31" s="7">
        <f t="shared" si="1"/>
        <v>-600.43829368308934</v>
      </c>
      <c r="H31" s="3">
        <f t="shared" si="2"/>
        <v>6.5594978458170097</v>
      </c>
      <c r="I31" s="3">
        <f t="shared" si="3"/>
        <v>2.351108394154318</v>
      </c>
      <c r="J31">
        <f t="shared" si="5"/>
        <v>776.40667677939882</v>
      </c>
      <c r="K31">
        <f t="shared" si="4"/>
        <v>1464620.9386042391</v>
      </c>
    </row>
    <row r="32" spans="1:11" x14ac:dyDescent="0.2">
      <c r="A32">
        <v>8</v>
      </c>
      <c r="B32">
        <v>46</v>
      </c>
      <c r="C32" s="5">
        <f t="shared" si="6"/>
        <v>6.5594978458170097</v>
      </c>
      <c r="D32" s="5">
        <f t="shared" si="6"/>
        <v>2.351108394154318</v>
      </c>
      <c r="E32" s="5">
        <f t="shared" si="7"/>
        <v>25.368364999051554</v>
      </c>
      <c r="F32" s="7">
        <f t="shared" si="0"/>
        <v>-41.263270001896892</v>
      </c>
      <c r="G32" s="7">
        <f t="shared" si="1"/>
        <v>-330.10616001517513</v>
      </c>
      <c r="H32" s="3">
        <f t="shared" si="2"/>
        <v>6.5891153873795458</v>
      </c>
      <c r="I32" s="3">
        <f t="shared" si="3"/>
        <v>2.3565637238809858</v>
      </c>
      <c r="J32">
        <f t="shared" si="5"/>
        <v>869.03175422640334</v>
      </c>
      <c r="K32">
        <f t="shared" si="4"/>
        <v>1329055.8524318116</v>
      </c>
    </row>
    <row r="33" spans="1:11" x14ac:dyDescent="0.2">
      <c r="A33" s="7"/>
      <c r="B33" s="7"/>
      <c r="H33" s="3"/>
      <c r="J33" s="7">
        <v>891.01957643192702</v>
      </c>
      <c r="K33">
        <v>1363237.844063472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m" enableFormatConditionsCalculation="0"/>
  <dimension ref="A1:O33"/>
  <sheetViews>
    <sheetView zoomScale="120" zoomScaleNormal="130" zoomScalePageLayoutView="130" workbookViewId="0">
      <pane xSplit="3" ySplit="3" topLeftCell="D19"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29.559950009837117</v>
      </c>
      <c r="D1" s="5" t="s">
        <v>14</v>
      </c>
      <c r="I1" t="s">
        <v>24</v>
      </c>
      <c r="J1">
        <v>0.7</v>
      </c>
      <c r="K1">
        <f>1-J1</f>
        <v>0.30000000000000004</v>
      </c>
      <c r="L1">
        <v>0.9</v>
      </c>
      <c r="M1">
        <f>1-L1</f>
        <v>9.9999999999999978E-2</v>
      </c>
    </row>
    <row r="2" spans="1:15" x14ac:dyDescent="0.2">
      <c r="B2" t="s">
        <v>22</v>
      </c>
      <c r="C2" s="5">
        <v>1.9437456497006467</v>
      </c>
      <c r="D2">
        <v>1</v>
      </c>
      <c r="F2" s="9"/>
      <c r="G2" s="9"/>
    </row>
    <row r="3" spans="1:15" s="2" customFormat="1" x14ac:dyDescent="0.2">
      <c r="A3" s="2" t="s">
        <v>15</v>
      </c>
      <c r="B3" s="2" t="s">
        <v>16</v>
      </c>
      <c r="C3" s="6" t="s">
        <v>21</v>
      </c>
      <c r="D3" s="6" t="s">
        <v>22</v>
      </c>
      <c r="E3" s="6" t="s">
        <v>18</v>
      </c>
      <c r="F3" s="8" t="s">
        <v>6</v>
      </c>
      <c r="G3" s="8" t="s">
        <v>9</v>
      </c>
      <c r="H3" s="2" t="s">
        <v>13</v>
      </c>
      <c r="I3" s="2" t="s">
        <v>12</v>
      </c>
      <c r="J3">
        <f>J33</f>
        <v>-0.87879459391621784</v>
      </c>
      <c r="K3">
        <f>K33</f>
        <v>6.4430610083578292</v>
      </c>
      <c r="L3">
        <f>L33</f>
        <v>354.0205865197243</v>
      </c>
      <c r="M3">
        <f>M33</f>
        <v>1102622.7425137348</v>
      </c>
      <c r="N3" s="4"/>
      <c r="O3" s="4"/>
    </row>
    <row r="4" spans="1:15" x14ac:dyDescent="0.2">
      <c r="A4">
        <v>14</v>
      </c>
      <c r="B4">
        <v>58</v>
      </c>
      <c r="C4" s="5">
        <f>C1</f>
        <v>29.559950009837117</v>
      </c>
      <c r="D4" s="5">
        <f>C2</f>
        <v>1.9437456497006467</v>
      </c>
      <c r="E4" s="5">
        <f>C4+D4*A4</f>
        <v>56.77238910564617</v>
      </c>
      <c r="F4" s="7">
        <f t="shared" ref="F4:F32" si="0">2*(D4*A4+C4-B4)</f>
        <v>-2.4552217887076608</v>
      </c>
      <c r="G4" s="7">
        <f t="shared" ref="G4:G32" si="1">F4*A4</f>
        <v>-34.373105041907252</v>
      </c>
      <c r="H4" s="3">
        <f>C4-J4*$D$2/SQRT(L4)</f>
        <v>29.635605711994181</v>
      </c>
      <c r="I4" s="3">
        <f>D4-K4*$D$2/SQRT(M4)</f>
        <v>1.9495693810953481</v>
      </c>
      <c r="J4">
        <f>J3*$J$1+$K$1*F4</f>
        <v>-1.3517227523536508</v>
      </c>
      <c r="K4">
        <f>K3*$J$1+$K$1*G4</f>
        <v>-5.8017888067216958</v>
      </c>
      <c r="L4">
        <f>L3*$L$1+$M$1*F4^2</f>
        <v>319.22133927092636</v>
      </c>
      <c r="M4">
        <f t="shared" ref="M4:M32" si="2">M3*$L$1+$M$1*G4^2</f>
        <v>992478.61929738359</v>
      </c>
    </row>
    <row r="5" spans="1:15" x14ac:dyDescent="0.2">
      <c r="A5">
        <v>86</v>
      </c>
      <c r="B5">
        <v>202</v>
      </c>
      <c r="C5" s="5">
        <f>H4</f>
        <v>29.635605711994181</v>
      </c>
      <c r="D5" s="5">
        <f>I4</f>
        <v>1.9495693810953481</v>
      </c>
      <c r="E5" s="5">
        <f>C5+D5*A5</f>
        <v>197.2985724861941</v>
      </c>
      <c r="F5" s="7">
        <f t="shared" si="0"/>
        <v>-9.4028550276117926</v>
      </c>
      <c r="G5" s="7">
        <f t="shared" si="1"/>
        <v>-808.64553237461416</v>
      </c>
      <c r="H5" s="3">
        <f t="shared" ref="H5:H32" si="3">C5-J5*$D$2/SQRT(L5)</f>
        <v>29.85450979473309</v>
      </c>
      <c r="I5" s="3">
        <f t="shared" ref="I5:I32" si="4">D5-K5*$D$2/SQRT(M5)</f>
        <v>2.201491431261152</v>
      </c>
      <c r="J5">
        <f t="shared" ref="J5:J32" si="5">J4*$J$1+$K$1*F5</f>
        <v>-3.7670624349310939</v>
      </c>
      <c r="K5">
        <f t="shared" ref="K5:K32" si="6">K4*$J$1+$K$1*G5</f>
        <v>-246.65491187708949</v>
      </c>
      <c r="L5">
        <f t="shared" ref="L4:L32" si="7">L4*$L$1+$M$1*F5^2</f>
        <v>296.14057361086219</v>
      </c>
      <c r="M5">
        <f t="shared" si="2"/>
        <v>958621.51707058761</v>
      </c>
    </row>
    <row r="6" spans="1:15" x14ac:dyDescent="0.2">
      <c r="A6">
        <v>28</v>
      </c>
      <c r="B6">
        <v>86</v>
      </c>
      <c r="C6" s="5">
        <f>H5</f>
        <v>29.85450979473309</v>
      </c>
      <c r="D6" s="5">
        <f>I5</f>
        <v>2.201491431261152</v>
      </c>
      <c r="E6" s="5">
        <f>C6+D6*A6</f>
        <v>91.496269870045353</v>
      </c>
      <c r="F6" s="7">
        <f t="shared" si="0"/>
        <v>10.992539740090706</v>
      </c>
      <c r="G6" s="7">
        <f t="shared" si="1"/>
        <v>307.79111272253976</v>
      </c>
      <c r="H6" s="3">
        <f t="shared" si="3"/>
        <v>29.814919970654827</v>
      </c>
      <c r="I6" s="3">
        <f t="shared" si="4"/>
        <v>2.2874943992835841</v>
      </c>
      <c r="J6">
        <f t="shared" si="5"/>
        <v>0.6608182175754469</v>
      </c>
      <c r="K6">
        <f t="shared" si="6"/>
        <v>-80.321104497200679</v>
      </c>
      <c r="L6">
        <f t="shared" si="7"/>
        <v>278.61010924352331</v>
      </c>
      <c r="M6">
        <f t="shared" si="2"/>
        <v>872232.90227062674</v>
      </c>
    </row>
    <row r="7" spans="1:15" x14ac:dyDescent="0.2">
      <c r="A7">
        <v>51</v>
      </c>
      <c r="B7">
        <v>132</v>
      </c>
      <c r="C7" s="5">
        <f t="shared" ref="C7:D32" si="8">H6</f>
        <v>29.814919970654827</v>
      </c>
      <c r="D7" s="5">
        <f t="shared" si="8"/>
        <v>2.2874943992835841</v>
      </c>
      <c r="E7" s="5">
        <f t="shared" ref="E7:E32" si="9">C7+D7*A7</f>
        <v>146.47713433411764</v>
      </c>
      <c r="F7" s="7">
        <f t="shared" si="0"/>
        <v>28.954268668235272</v>
      </c>
      <c r="G7" s="7">
        <f t="shared" si="1"/>
        <v>1476.6677020799989</v>
      </c>
      <c r="H7" s="3">
        <f t="shared" si="3"/>
        <v>29.314754116867778</v>
      </c>
      <c r="I7" s="3">
        <f t="shared" si="4"/>
        <v>1.9013101134810722</v>
      </c>
      <c r="J7">
        <f t="shared" si="5"/>
        <v>9.1488533527733971</v>
      </c>
      <c r="K7">
        <f t="shared" si="6"/>
        <v>386.77553747595925</v>
      </c>
      <c r="L7">
        <f t="shared" si="7"/>
        <v>334.58406573040605</v>
      </c>
      <c r="M7">
        <f t="shared" si="2"/>
        <v>1003064.3622801865</v>
      </c>
    </row>
    <row r="8" spans="1:15" x14ac:dyDescent="0.2">
      <c r="A8">
        <v>28</v>
      </c>
      <c r="B8">
        <v>86</v>
      </c>
      <c r="C8" s="5">
        <f t="shared" si="8"/>
        <v>29.314754116867778</v>
      </c>
      <c r="D8" s="5">
        <f t="shared" si="8"/>
        <v>1.9013101134810722</v>
      </c>
      <c r="E8" s="5">
        <f t="shared" si="9"/>
        <v>82.551437294337802</v>
      </c>
      <c r="F8" s="7">
        <f t="shared" si="0"/>
        <v>-6.8971254113243958</v>
      </c>
      <c r="G8" s="7">
        <f t="shared" si="1"/>
        <v>-193.11951151708308</v>
      </c>
      <c r="H8" s="3">
        <f t="shared" si="3"/>
        <v>29.066887732076808</v>
      </c>
      <c r="I8" s="3">
        <f t="shared" si="4"/>
        <v>1.677795943917131</v>
      </c>
      <c r="J8">
        <f t="shared" si="5"/>
        <v>4.3350597235440587</v>
      </c>
      <c r="K8">
        <f t="shared" si="6"/>
        <v>212.8070227780465</v>
      </c>
      <c r="L8">
        <f t="shared" si="7"/>
        <v>305.88269305131917</v>
      </c>
      <c r="M8">
        <f t="shared" si="2"/>
        <v>906487.44062502752</v>
      </c>
    </row>
    <row r="9" spans="1:15" x14ac:dyDescent="0.2">
      <c r="A9">
        <v>29</v>
      </c>
      <c r="B9">
        <v>88</v>
      </c>
      <c r="C9" s="5">
        <f t="shared" si="8"/>
        <v>29.066887732076808</v>
      </c>
      <c r="D9" s="5">
        <f t="shared" si="8"/>
        <v>1.677795943917131</v>
      </c>
      <c r="E9" s="5">
        <f t="shared" si="9"/>
        <v>77.72297010567361</v>
      </c>
      <c r="F9" s="7">
        <f t="shared" si="0"/>
        <v>-20.554059788652779</v>
      </c>
      <c r="G9" s="7">
        <f t="shared" si="1"/>
        <v>-596.06773387093062</v>
      </c>
      <c r="H9" s="3">
        <f t="shared" si="3"/>
        <v>29.242630187956578</v>
      </c>
      <c r="I9" s="3">
        <f t="shared" si="4"/>
        <v>1.7101526422311772</v>
      </c>
      <c r="J9">
        <f t="shared" si="5"/>
        <v>-3.1316761301149936</v>
      </c>
      <c r="K9">
        <f t="shared" si="6"/>
        <v>-29.85540421664669</v>
      </c>
      <c r="L9">
        <f t="shared" si="7"/>
        <v>317.54136112573855</v>
      </c>
      <c r="M9">
        <f t="shared" si="2"/>
        <v>851368.37089872744</v>
      </c>
    </row>
    <row r="10" spans="1:15" x14ac:dyDescent="0.2">
      <c r="A10">
        <v>72</v>
      </c>
      <c r="B10">
        <v>174</v>
      </c>
      <c r="C10" s="5">
        <f t="shared" si="8"/>
        <v>29.242630187956578</v>
      </c>
      <c r="D10" s="5">
        <f t="shared" si="8"/>
        <v>1.7101526422311772</v>
      </c>
      <c r="E10" s="5">
        <f t="shared" si="9"/>
        <v>152.37362042860133</v>
      </c>
      <c r="F10" s="7">
        <f t="shared" si="0"/>
        <v>-43.252759142797345</v>
      </c>
      <c r="G10" s="7">
        <f t="shared" si="1"/>
        <v>-3114.1986582814088</v>
      </c>
      <c r="H10" s="3">
        <f t="shared" si="3"/>
        <v>29.940153439122842</v>
      </c>
      <c r="I10" s="3">
        <f t="shared" si="4"/>
        <v>2.435078627924061</v>
      </c>
      <c r="J10">
        <f t="shared" si="5"/>
        <v>-15.168001033919701</v>
      </c>
      <c r="K10">
        <f t="shared" si="6"/>
        <v>-955.1583804360755</v>
      </c>
      <c r="L10">
        <f t="shared" si="7"/>
        <v>472.86734235964855</v>
      </c>
      <c r="M10">
        <f t="shared" si="2"/>
        <v>1736054.8621330271</v>
      </c>
    </row>
    <row r="11" spans="1:15" x14ac:dyDescent="0.2">
      <c r="A11">
        <v>62</v>
      </c>
      <c r="B11">
        <v>154</v>
      </c>
      <c r="C11" s="5">
        <f t="shared" si="8"/>
        <v>29.940153439122842</v>
      </c>
      <c r="D11" s="5">
        <f t="shared" si="8"/>
        <v>2.435078627924061</v>
      </c>
      <c r="E11" s="5">
        <f t="shared" si="9"/>
        <v>180.91502837041463</v>
      </c>
      <c r="F11" s="7">
        <f t="shared" si="0"/>
        <v>53.830056740829264</v>
      </c>
      <c r="G11" s="7">
        <f t="shared" si="1"/>
        <v>3337.4635179314146</v>
      </c>
      <c r="H11" s="3">
        <f t="shared" si="3"/>
        <v>29.733340537302713</v>
      </c>
      <c r="I11" s="3">
        <f t="shared" si="4"/>
        <v>2.2317538134937878</v>
      </c>
      <c r="J11">
        <f t="shared" si="5"/>
        <v>5.5314162985049915</v>
      </c>
      <c r="K11">
        <f t="shared" si="6"/>
        <v>332.6281890741717</v>
      </c>
      <c r="L11">
        <f t="shared" si="7"/>
        <v>715.34810899577337</v>
      </c>
      <c r="M11">
        <f t="shared" si="2"/>
        <v>2676315.6492720377</v>
      </c>
    </row>
    <row r="12" spans="1:15" x14ac:dyDescent="0.2">
      <c r="A12">
        <v>84</v>
      </c>
      <c r="B12">
        <v>198</v>
      </c>
      <c r="C12" s="5">
        <f t="shared" si="8"/>
        <v>29.733340537302713</v>
      </c>
      <c r="D12" s="5">
        <f t="shared" si="8"/>
        <v>2.2317538134937878</v>
      </c>
      <c r="E12" s="5">
        <f t="shared" si="9"/>
        <v>217.20066087078089</v>
      </c>
      <c r="F12" s="7">
        <f t="shared" si="0"/>
        <v>38.401321741561787</v>
      </c>
      <c r="G12" s="7">
        <f t="shared" si="1"/>
        <v>3225.7110262911901</v>
      </c>
      <c r="H12" s="3">
        <f t="shared" si="3"/>
        <v>29.186146877112488</v>
      </c>
      <c r="I12" s="3">
        <f t="shared" si="4"/>
        <v>1.5853233229718278</v>
      </c>
      <c r="J12">
        <f t="shared" si="5"/>
        <v>15.392387931422032</v>
      </c>
      <c r="K12">
        <f t="shared" si="6"/>
        <v>1200.5530402392774</v>
      </c>
      <c r="L12">
        <f t="shared" si="7"/>
        <v>791.27944924609062</v>
      </c>
      <c r="M12">
        <f t="shared" si="2"/>
        <v>3449205.2468584902</v>
      </c>
    </row>
    <row r="13" spans="1:15" x14ac:dyDescent="0.2">
      <c r="A13">
        <v>15</v>
      </c>
      <c r="B13">
        <v>60</v>
      </c>
      <c r="C13" s="5">
        <f t="shared" si="8"/>
        <v>29.186146877112488</v>
      </c>
      <c r="D13" s="5">
        <f t="shared" si="8"/>
        <v>1.5853233229718278</v>
      </c>
      <c r="E13" s="5">
        <f t="shared" si="9"/>
        <v>52.965996721689905</v>
      </c>
      <c r="F13" s="7">
        <f t="shared" si="0"/>
        <v>-14.06800655662019</v>
      </c>
      <c r="G13" s="7">
        <f t="shared" si="1"/>
        <v>-211.02009834930286</v>
      </c>
      <c r="H13" s="3">
        <f t="shared" si="3"/>
        <v>28.943884568198378</v>
      </c>
      <c r="I13" s="3">
        <f t="shared" si="4"/>
        <v>1.1445916037055079</v>
      </c>
      <c r="J13">
        <f t="shared" si="5"/>
        <v>6.5542695850093633</v>
      </c>
      <c r="K13">
        <f t="shared" si="6"/>
        <v>777.0810986627032</v>
      </c>
      <c r="L13">
        <f t="shared" si="7"/>
        <v>731.94238516919233</v>
      </c>
      <c r="M13">
        <f t="shared" si="2"/>
        <v>3108737.6703633759</v>
      </c>
    </row>
    <row r="14" spans="1:15" x14ac:dyDescent="0.2">
      <c r="A14">
        <v>42</v>
      </c>
      <c r="B14">
        <v>114</v>
      </c>
      <c r="C14" s="5">
        <f t="shared" si="8"/>
        <v>28.943884568198378</v>
      </c>
      <c r="D14" s="5">
        <f t="shared" si="8"/>
        <v>1.1445916037055079</v>
      </c>
      <c r="E14" s="5">
        <f t="shared" si="9"/>
        <v>77.01673192382971</v>
      </c>
      <c r="F14" s="7">
        <f t="shared" si="0"/>
        <v>-73.966536152340581</v>
      </c>
      <c r="G14" s="7">
        <f t="shared" si="1"/>
        <v>-3106.5945183983044</v>
      </c>
      <c r="H14" s="3">
        <f t="shared" si="3"/>
        <v>29.45077506159323</v>
      </c>
      <c r="I14" s="3">
        <f t="shared" si="4"/>
        <v>1.3446198224844377</v>
      </c>
      <c r="J14">
        <f t="shared" si="5"/>
        <v>-17.601972136195624</v>
      </c>
      <c r="K14">
        <f t="shared" si="6"/>
        <v>-388.02158645559928</v>
      </c>
      <c r="L14">
        <f t="shared" si="7"/>
        <v>1205.8529936898235</v>
      </c>
      <c r="M14">
        <f t="shared" si="2"/>
        <v>3762956.8535012775</v>
      </c>
    </row>
    <row r="15" spans="1:15" x14ac:dyDescent="0.2">
      <c r="A15">
        <v>62</v>
      </c>
      <c r="B15">
        <v>154</v>
      </c>
      <c r="C15" s="5">
        <f t="shared" si="8"/>
        <v>29.45077506159323</v>
      </c>
      <c r="D15" s="5">
        <f>I14</f>
        <v>1.3446198224844377</v>
      </c>
      <c r="E15" s="5">
        <f t="shared" si="9"/>
        <v>112.81720405562837</v>
      </c>
      <c r="F15" s="7">
        <f t="shared" si="0"/>
        <v>-82.365591888743268</v>
      </c>
      <c r="G15" s="7">
        <f t="shared" si="1"/>
        <v>-5106.6666971020823</v>
      </c>
      <c r="H15" s="3">
        <f t="shared" si="3"/>
        <v>30.332547711323045</v>
      </c>
      <c r="I15" s="3">
        <f t="shared" si="4"/>
        <v>2.0812824362331197</v>
      </c>
      <c r="J15">
        <f t="shared" si="5"/>
        <v>-37.031058061959918</v>
      </c>
      <c r="K15">
        <f t="shared" si="6"/>
        <v>-1803.6151196495443</v>
      </c>
      <c r="L15">
        <f t="shared" si="7"/>
        <v>1763.6767670391423</v>
      </c>
      <c r="M15">
        <f t="shared" si="2"/>
        <v>5994465.6436802987</v>
      </c>
    </row>
    <row r="16" spans="1:15" x14ac:dyDescent="0.2">
      <c r="A16">
        <v>47</v>
      </c>
      <c r="B16">
        <v>124</v>
      </c>
      <c r="C16" s="5">
        <f t="shared" si="8"/>
        <v>30.332547711323045</v>
      </c>
      <c r="D16" s="5">
        <f t="shared" si="8"/>
        <v>2.0812824362331197</v>
      </c>
      <c r="E16" s="5">
        <f t="shared" si="9"/>
        <v>128.15282221427967</v>
      </c>
      <c r="F16" s="7">
        <f t="shared" si="0"/>
        <v>8.3056444285593329</v>
      </c>
      <c r="G16" s="7">
        <f t="shared" si="1"/>
        <v>390.36528814228865</v>
      </c>
      <c r="H16" s="3">
        <f t="shared" si="3"/>
        <v>30.919362089796696</v>
      </c>
      <c r="I16" s="3">
        <f t="shared" si="4"/>
        <v>2.5737256635084638</v>
      </c>
      <c r="J16">
        <f t="shared" si="5"/>
        <v>-23.430047314804142</v>
      </c>
      <c r="K16">
        <f t="shared" si="6"/>
        <v>-1145.4209973119944</v>
      </c>
      <c r="L16">
        <f t="shared" si="7"/>
        <v>1594.2074632725939</v>
      </c>
      <c r="M16">
        <f t="shared" si="2"/>
        <v>5410257.5851309095</v>
      </c>
    </row>
    <row r="17" spans="1:13" x14ac:dyDescent="0.2">
      <c r="A17">
        <v>35</v>
      </c>
      <c r="B17">
        <v>100</v>
      </c>
      <c r="C17" s="5">
        <f t="shared" si="8"/>
        <v>30.919362089796696</v>
      </c>
      <c r="D17" s="5">
        <f t="shared" si="8"/>
        <v>2.5737256635084638</v>
      </c>
      <c r="E17" s="5">
        <f t="shared" si="9"/>
        <v>120.99976031259293</v>
      </c>
      <c r="F17" s="7">
        <f t="shared" si="0"/>
        <v>41.999520625185852</v>
      </c>
      <c r="G17" s="7">
        <f t="shared" si="1"/>
        <v>1469.9832218815047</v>
      </c>
      <c r="H17" s="3">
        <f t="shared" si="3"/>
        <v>31.014061154873687</v>
      </c>
      <c r="I17" s="3">
        <f t="shared" si="4"/>
        <v>2.7337209524532513</v>
      </c>
      <c r="J17">
        <f t="shared" si="5"/>
        <v>-3.8011769328071434</v>
      </c>
      <c r="K17">
        <f t="shared" si="6"/>
        <v>-360.79973155394453</v>
      </c>
      <c r="L17">
        <f t="shared" si="7"/>
        <v>1611.1826902198757</v>
      </c>
      <c r="M17">
        <f t="shared" si="2"/>
        <v>5085316.8938791314</v>
      </c>
    </row>
    <row r="18" spans="1:13" x14ac:dyDescent="0.2">
      <c r="A18">
        <v>9</v>
      </c>
      <c r="B18">
        <v>48</v>
      </c>
      <c r="C18" s="5">
        <f t="shared" si="8"/>
        <v>31.014061154873687</v>
      </c>
      <c r="D18" s="5">
        <f t="shared" si="8"/>
        <v>2.7337209524532513</v>
      </c>
      <c r="E18" s="5">
        <f t="shared" si="9"/>
        <v>55.617549726952944</v>
      </c>
      <c r="F18" s="7">
        <f t="shared" si="0"/>
        <v>15.235099453905889</v>
      </c>
      <c r="G18" s="7">
        <f t="shared" si="1"/>
        <v>137.115895085153</v>
      </c>
      <c r="H18" s="3">
        <f t="shared" si="3"/>
        <v>30.964307548866675</v>
      </c>
      <c r="I18" s="3">
        <f t="shared" si="4"/>
        <v>2.832527785773657</v>
      </c>
      <c r="J18">
        <f t="shared" si="5"/>
        <v>1.9097059832067669</v>
      </c>
      <c r="K18">
        <f t="shared" si="6"/>
        <v>-211.42504356221525</v>
      </c>
      <c r="L18">
        <f t="shared" si="7"/>
        <v>1473.2752467349285</v>
      </c>
      <c r="M18">
        <f t="shared" si="2"/>
        <v>4578665.2813597191</v>
      </c>
    </row>
    <row r="19" spans="1:13" x14ac:dyDescent="0.2">
      <c r="A19">
        <v>38</v>
      </c>
      <c r="B19">
        <v>106</v>
      </c>
      <c r="C19" s="5">
        <f t="shared" si="8"/>
        <v>30.964307548866675</v>
      </c>
      <c r="D19" s="5">
        <f t="shared" si="8"/>
        <v>2.832527785773657</v>
      </c>
      <c r="E19" s="5">
        <f t="shared" si="9"/>
        <v>138.60036340826565</v>
      </c>
      <c r="F19" s="7">
        <f t="shared" si="0"/>
        <v>65.200726816531301</v>
      </c>
      <c r="G19" s="7">
        <f t="shared" si="1"/>
        <v>2477.6276190281897</v>
      </c>
      <c r="H19" s="3">
        <f t="shared" si="3"/>
        <v>30.464924801325505</v>
      </c>
      <c r="I19" s="3">
        <f t="shared" si="4"/>
        <v>2.5589476130321018</v>
      </c>
      <c r="J19">
        <f t="shared" si="5"/>
        <v>20.89701223320413</v>
      </c>
      <c r="K19">
        <f t="shared" si="6"/>
        <v>595.29075521490631</v>
      </c>
      <c r="L19">
        <f t="shared" si="7"/>
        <v>1751.0611998018298</v>
      </c>
      <c r="M19">
        <f t="shared" si="2"/>
        <v>4734662.6150808772</v>
      </c>
    </row>
    <row r="20" spans="1:13" x14ac:dyDescent="0.2">
      <c r="A20">
        <v>44</v>
      </c>
      <c r="B20">
        <v>118</v>
      </c>
      <c r="C20" s="5">
        <f t="shared" si="8"/>
        <v>30.464924801325505</v>
      </c>
      <c r="D20" s="5">
        <f t="shared" si="8"/>
        <v>2.5589476130321018</v>
      </c>
      <c r="E20" s="5">
        <f t="shared" si="9"/>
        <v>143.05861977473799</v>
      </c>
      <c r="F20" s="7">
        <f t="shared" si="0"/>
        <v>50.117239549475983</v>
      </c>
      <c r="G20" s="7">
        <f t="shared" si="1"/>
        <v>2205.1585401769435</v>
      </c>
      <c r="H20" s="3">
        <f t="shared" si="3"/>
        <v>29.770969237998731</v>
      </c>
      <c r="I20" s="3">
        <f t="shared" si="4"/>
        <v>2.064080209965006</v>
      </c>
      <c r="J20">
        <f t="shared" si="5"/>
        <v>29.663080428085685</v>
      </c>
      <c r="K20">
        <f t="shared" si="6"/>
        <v>1078.2510907035175</v>
      </c>
      <c r="L20">
        <f t="shared" si="7"/>
        <v>1827.1288498276028</v>
      </c>
      <c r="M20">
        <f t="shared" si="2"/>
        <v>4747468.7723043207</v>
      </c>
    </row>
    <row r="21" spans="1:13" x14ac:dyDescent="0.2">
      <c r="A21">
        <v>99</v>
      </c>
      <c r="B21">
        <v>228</v>
      </c>
      <c r="C21" s="5">
        <f t="shared" si="8"/>
        <v>29.770969237998731</v>
      </c>
      <c r="D21" s="5">
        <f t="shared" si="8"/>
        <v>2.064080209965006</v>
      </c>
      <c r="E21" s="5">
        <f t="shared" si="9"/>
        <v>234.11491002453434</v>
      </c>
      <c r="F21" s="7">
        <f t="shared" si="0"/>
        <v>12.229820049068678</v>
      </c>
      <c r="G21" s="7">
        <f t="shared" si="1"/>
        <v>1210.7521848577992</v>
      </c>
      <c r="H21" s="3">
        <f t="shared" si="3"/>
        <v>29.171169007655333</v>
      </c>
      <c r="I21" s="3">
        <f t="shared" si="4"/>
        <v>1.5322598915739825</v>
      </c>
      <c r="J21">
        <f t="shared" si="5"/>
        <v>24.43310231438058</v>
      </c>
      <c r="K21">
        <f t="shared" si="6"/>
        <v>1118.001418949802</v>
      </c>
      <c r="L21">
        <f t="shared" si="7"/>
        <v>1659.3728146881028</v>
      </c>
      <c r="M21">
        <f t="shared" si="2"/>
        <v>4419313.9803876821</v>
      </c>
    </row>
    <row r="22" spans="1:13" x14ac:dyDescent="0.2">
      <c r="A22">
        <v>13</v>
      </c>
      <c r="B22">
        <v>56</v>
      </c>
      <c r="C22" s="5">
        <f t="shared" si="8"/>
        <v>29.171169007655333</v>
      </c>
      <c r="D22" s="5">
        <f t="shared" si="8"/>
        <v>1.5322598915739825</v>
      </c>
      <c r="E22" s="5">
        <f t="shared" si="9"/>
        <v>49.090547598117105</v>
      </c>
      <c r="F22" s="7">
        <f t="shared" si="0"/>
        <v>-13.81890480376579</v>
      </c>
      <c r="G22" s="7">
        <f t="shared" si="1"/>
        <v>-179.64576244895528</v>
      </c>
      <c r="H22" s="3">
        <f t="shared" si="3"/>
        <v>28.837996640744255</v>
      </c>
      <c r="I22" s="3">
        <f t="shared" si="4"/>
        <v>1.1670199263069325</v>
      </c>
      <c r="J22">
        <f t="shared" si="5"/>
        <v>12.957500178936668</v>
      </c>
      <c r="K22">
        <f t="shared" si="6"/>
        <v>728.70726453017483</v>
      </c>
      <c r="L22">
        <f t="shared" si="7"/>
        <v>1512.5317462168468</v>
      </c>
      <c r="M22">
        <f t="shared" si="2"/>
        <v>3980609.8423455004</v>
      </c>
    </row>
    <row r="23" spans="1:13" x14ac:dyDescent="0.2">
      <c r="A23">
        <v>21</v>
      </c>
      <c r="B23">
        <v>72</v>
      </c>
      <c r="C23" s="5">
        <f t="shared" si="8"/>
        <v>28.837996640744255</v>
      </c>
      <c r="D23" s="5">
        <f t="shared" si="8"/>
        <v>1.1670199263069325</v>
      </c>
      <c r="E23" s="5">
        <f t="shared" si="9"/>
        <v>53.345415093189843</v>
      </c>
      <c r="F23" s="7">
        <f t="shared" si="0"/>
        <v>-37.309169813620315</v>
      </c>
      <c r="G23" s="7">
        <f t="shared" si="1"/>
        <v>-783.49256608602661</v>
      </c>
      <c r="H23" s="3">
        <f t="shared" si="3"/>
        <v>28.892790683177559</v>
      </c>
      <c r="I23" s="3">
        <f t="shared" si="4"/>
        <v>1.0229338203304634</v>
      </c>
      <c r="J23">
        <f t="shared" si="5"/>
        <v>-2.1225008188304297</v>
      </c>
      <c r="K23">
        <f t="shared" si="6"/>
        <v>275.0473153453143</v>
      </c>
      <c r="L23">
        <f t="shared" si="7"/>
        <v>1500.4759868133181</v>
      </c>
      <c r="M23">
        <f t="shared" si="2"/>
        <v>3643934.9182221568</v>
      </c>
    </row>
    <row r="24" spans="1:13" x14ac:dyDescent="0.2">
      <c r="A24">
        <v>28</v>
      </c>
      <c r="B24">
        <v>86</v>
      </c>
      <c r="C24" s="5">
        <f t="shared" si="8"/>
        <v>28.892790683177559</v>
      </c>
      <c r="D24" s="5">
        <f t="shared" si="8"/>
        <v>1.0229338203304634</v>
      </c>
      <c r="E24" s="5">
        <f t="shared" si="9"/>
        <v>57.534937652430536</v>
      </c>
      <c r="F24" s="7">
        <f t="shared" si="0"/>
        <v>-56.930124695138929</v>
      </c>
      <c r="G24" s="7">
        <f t="shared" si="1"/>
        <v>-1594.0434914638899</v>
      </c>
      <c r="H24" s="3">
        <f t="shared" si="3"/>
        <v>29.34646399255724</v>
      </c>
      <c r="I24" s="3">
        <f t="shared" si="4"/>
        <v>1.1749075922739727</v>
      </c>
      <c r="J24">
        <f t="shared" si="5"/>
        <v>-18.564787981722979</v>
      </c>
      <c r="K24">
        <f t="shared" si="6"/>
        <v>-285.67992669744706</v>
      </c>
      <c r="L24">
        <f t="shared" si="7"/>
        <v>1674.532297912393</v>
      </c>
      <c r="M24">
        <f t="shared" si="2"/>
        <v>3533638.89166778</v>
      </c>
    </row>
    <row r="25" spans="1:13" x14ac:dyDescent="0.2">
      <c r="A25">
        <v>20</v>
      </c>
      <c r="B25">
        <v>70</v>
      </c>
      <c r="C25" s="5">
        <f t="shared" si="8"/>
        <v>29.34646399255724</v>
      </c>
      <c r="D25" s="5">
        <f t="shared" si="8"/>
        <v>1.1749075922739727</v>
      </c>
      <c r="E25" s="5">
        <f t="shared" si="9"/>
        <v>52.844615838036695</v>
      </c>
      <c r="F25" s="7">
        <f t="shared" si="0"/>
        <v>-34.310768323926609</v>
      </c>
      <c r="G25" s="7">
        <f t="shared" si="1"/>
        <v>-686.21536647853213</v>
      </c>
      <c r="H25" s="3">
        <f t="shared" si="3"/>
        <v>29.924217820544104</v>
      </c>
      <c r="I25" s="3">
        <f t="shared" si="4"/>
        <v>1.4008155146583927</v>
      </c>
      <c r="J25">
        <f t="shared" si="5"/>
        <v>-23.288582084384068</v>
      </c>
      <c r="K25">
        <f t="shared" si="6"/>
        <v>-405.84055863177258</v>
      </c>
      <c r="L25">
        <f t="shared" si="7"/>
        <v>1624.8019504189704</v>
      </c>
      <c r="M25">
        <f t="shared" si="2"/>
        <v>3227364.1554201287</v>
      </c>
    </row>
    <row r="26" spans="1:13" x14ac:dyDescent="0.2">
      <c r="A26">
        <v>8</v>
      </c>
      <c r="B26">
        <v>46</v>
      </c>
      <c r="C26" s="5">
        <f t="shared" si="8"/>
        <v>29.924217820544104</v>
      </c>
      <c r="D26" s="5">
        <f t="shared" si="8"/>
        <v>1.4008155146583927</v>
      </c>
      <c r="E26" s="5">
        <f t="shared" si="9"/>
        <v>41.130741937811244</v>
      </c>
      <c r="F26" s="7">
        <f t="shared" si="0"/>
        <v>-9.7385161243775116</v>
      </c>
      <c r="G26" s="7">
        <f t="shared" si="1"/>
        <v>-77.908128995020093</v>
      </c>
      <c r="H26" s="3">
        <f t="shared" si="3"/>
        <v>30.425299633659197</v>
      </c>
      <c r="I26" s="3">
        <f t="shared" si="4"/>
        <v>1.5812000005396747</v>
      </c>
      <c r="J26">
        <f t="shared" si="5"/>
        <v>-19.223562296382099</v>
      </c>
      <c r="K26">
        <f t="shared" si="6"/>
        <v>-307.46082974074682</v>
      </c>
      <c r="L26">
        <f t="shared" si="7"/>
        <v>1471.8056250075492</v>
      </c>
      <c r="M26">
        <f t="shared" si="2"/>
        <v>2905234.7075344664</v>
      </c>
    </row>
    <row r="27" spans="1:13" x14ac:dyDescent="0.2">
      <c r="A27">
        <v>64</v>
      </c>
      <c r="B27">
        <v>158</v>
      </c>
      <c r="C27" s="5">
        <f t="shared" si="8"/>
        <v>30.425299633659197</v>
      </c>
      <c r="D27" s="5">
        <f t="shared" si="8"/>
        <v>1.5812000005396747</v>
      </c>
      <c r="E27" s="5">
        <f t="shared" si="9"/>
        <v>131.62209966819839</v>
      </c>
      <c r="F27" s="7">
        <f t="shared" si="0"/>
        <v>-52.755800663603225</v>
      </c>
      <c r="G27" s="7">
        <f t="shared" si="1"/>
        <v>-3376.3712424706064</v>
      </c>
      <c r="H27" s="3">
        <f t="shared" si="3"/>
        <v>31.15670823175369</v>
      </c>
      <c r="I27" s="3">
        <f t="shared" si="4"/>
        <v>2.2150086258039714</v>
      </c>
      <c r="J27">
        <f t="shared" si="5"/>
        <v>-29.283233806548438</v>
      </c>
      <c r="K27">
        <f t="shared" si="6"/>
        <v>-1228.1339535597049</v>
      </c>
      <c r="L27">
        <f t="shared" si="7"/>
        <v>1602.9425128725782</v>
      </c>
      <c r="M27">
        <f t="shared" si="2"/>
        <v>3754699.51347927</v>
      </c>
    </row>
    <row r="28" spans="1:13" x14ac:dyDescent="0.2">
      <c r="A28">
        <v>99</v>
      </c>
      <c r="B28">
        <v>228</v>
      </c>
      <c r="C28" s="5">
        <f t="shared" si="8"/>
        <v>31.15670823175369</v>
      </c>
      <c r="D28" s="5">
        <f t="shared" si="8"/>
        <v>2.2150086258039714</v>
      </c>
      <c r="E28" s="5">
        <f t="shared" si="9"/>
        <v>250.44256218634686</v>
      </c>
      <c r="F28" s="7">
        <f t="shared" si="0"/>
        <v>44.885124372693724</v>
      </c>
      <c r="G28" s="7">
        <f t="shared" si="1"/>
        <v>4443.6273128966786</v>
      </c>
      <c r="H28" s="3">
        <f t="shared" si="3"/>
        <v>31.330151532861088</v>
      </c>
      <c r="I28" s="3">
        <f t="shared" si="4"/>
        <v>2.0104152422575616</v>
      </c>
      <c r="J28">
        <f t="shared" si="5"/>
        <v>-7.0327263527757857</v>
      </c>
      <c r="K28">
        <f t="shared" si="6"/>
        <v>473.39442637721049</v>
      </c>
      <c r="L28">
        <f t="shared" si="7"/>
        <v>1644.1157005805387</v>
      </c>
      <c r="M28">
        <f t="shared" si="2"/>
        <v>5353811.9317234783</v>
      </c>
    </row>
    <row r="29" spans="1:13" x14ac:dyDescent="0.2">
      <c r="A29">
        <v>70</v>
      </c>
      <c r="B29">
        <v>170</v>
      </c>
      <c r="C29" s="5">
        <f t="shared" si="8"/>
        <v>31.330151532861088</v>
      </c>
      <c r="D29" s="5">
        <f t="shared" si="8"/>
        <v>2.0104152422575616</v>
      </c>
      <c r="E29" s="5">
        <f t="shared" si="9"/>
        <v>172.0592184908904</v>
      </c>
      <c r="F29" s="7">
        <f t="shared" si="0"/>
        <v>4.1184369817808033</v>
      </c>
      <c r="G29" s="7">
        <f t="shared" si="1"/>
        <v>288.29058872465623</v>
      </c>
      <c r="H29" s="3">
        <f t="shared" si="3"/>
        <v>31.425955032163806</v>
      </c>
      <c r="I29" s="3">
        <f t="shared" si="4"/>
        <v>1.8202167077863625</v>
      </c>
      <c r="J29">
        <f t="shared" si="5"/>
        <v>-3.687377352408808</v>
      </c>
      <c r="K29">
        <f t="shared" si="6"/>
        <v>417.86327508144421</v>
      </c>
      <c r="L29">
        <f t="shared" si="7"/>
        <v>1481.4002828397747</v>
      </c>
      <c r="M29">
        <f t="shared" si="2"/>
        <v>4826741.8849058514</v>
      </c>
    </row>
    <row r="30" spans="1:13" x14ac:dyDescent="0.2">
      <c r="A30">
        <v>27</v>
      </c>
      <c r="B30">
        <v>84</v>
      </c>
      <c r="C30" s="5">
        <f t="shared" si="8"/>
        <v>31.425955032163806</v>
      </c>
      <c r="D30" s="5">
        <f t="shared" si="8"/>
        <v>1.8202167077863625</v>
      </c>
      <c r="E30" s="5">
        <f t="shared" si="9"/>
        <v>80.571806142395587</v>
      </c>
      <c r="F30" s="7">
        <f t="shared" si="0"/>
        <v>-6.8563877152088253</v>
      </c>
      <c r="G30" s="7">
        <f t="shared" si="1"/>
        <v>-185.12246831063828</v>
      </c>
      <c r="H30" s="3">
        <f t="shared" si="3"/>
        <v>31.552754230878474</v>
      </c>
      <c r="I30" s="3">
        <f t="shared" si="4"/>
        <v>1.7065667313232691</v>
      </c>
      <c r="J30">
        <f t="shared" si="5"/>
        <v>-4.6380804612488138</v>
      </c>
      <c r="K30">
        <f t="shared" si="6"/>
        <v>236.96755206381945</v>
      </c>
      <c r="L30">
        <f t="shared" si="7"/>
        <v>1337.9612598059239</v>
      </c>
      <c r="M30">
        <f t="shared" si="2"/>
        <v>4347494.729242608</v>
      </c>
    </row>
    <row r="31" spans="1:13" x14ac:dyDescent="0.2">
      <c r="A31">
        <v>17</v>
      </c>
      <c r="B31">
        <v>64</v>
      </c>
      <c r="C31" s="5">
        <f t="shared" si="8"/>
        <v>31.552754230878474</v>
      </c>
      <c r="D31" s="5">
        <f t="shared" si="8"/>
        <v>1.7065667313232691</v>
      </c>
      <c r="E31" s="5">
        <f t="shared" si="9"/>
        <v>60.564388663374046</v>
      </c>
      <c r="F31" s="7">
        <f t="shared" si="0"/>
        <v>-6.8712226732519071</v>
      </c>
      <c r="G31" s="7">
        <f t="shared" si="1"/>
        <v>-116.81078544528242</v>
      </c>
      <c r="H31" s="3">
        <f t="shared" si="3"/>
        <v>31.705419427599804</v>
      </c>
      <c r="I31" s="3">
        <f t="shared" si="4"/>
        <v>1.6404358532070145</v>
      </c>
      <c r="J31">
        <f t="shared" si="5"/>
        <v>-5.3080231248497416</v>
      </c>
      <c r="K31">
        <f t="shared" si="6"/>
        <v>130.8340508110889</v>
      </c>
      <c r="L31">
        <f t="shared" si="7"/>
        <v>1208.8865039278728</v>
      </c>
      <c r="M31">
        <f t="shared" si="2"/>
        <v>3914109.7322779815</v>
      </c>
    </row>
    <row r="32" spans="1:13" x14ac:dyDescent="0.2">
      <c r="A32">
        <v>8</v>
      </c>
      <c r="B32">
        <v>46</v>
      </c>
      <c r="C32" s="5">
        <f t="shared" si="8"/>
        <v>31.705419427599804</v>
      </c>
      <c r="D32" s="5">
        <f t="shared" si="8"/>
        <v>1.6404358532070145</v>
      </c>
      <c r="E32" s="5">
        <f t="shared" si="9"/>
        <v>44.828906253255923</v>
      </c>
      <c r="F32" s="7">
        <f t="shared" si="0"/>
        <v>-2.3421874934881544</v>
      </c>
      <c r="G32" s="7">
        <f t="shared" si="1"/>
        <v>-18.737499947905235</v>
      </c>
      <c r="H32" s="3">
        <f t="shared" si="3"/>
        <v>31.839334361402397</v>
      </c>
      <c r="I32" s="3">
        <f t="shared" si="4"/>
        <v>1.5946354235345996</v>
      </c>
      <c r="J32">
        <f t="shared" si="5"/>
        <v>-4.4182724354412652</v>
      </c>
      <c r="K32">
        <f t="shared" si="6"/>
        <v>85.962585583390648</v>
      </c>
      <c r="L32">
        <f t="shared" si="7"/>
        <v>1088.5464377605508</v>
      </c>
      <c r="M32">
        <f t="shared" si="2"/>
        <v>3522733.8684406132</v>
      </c>
    </row>
    <row r="33" spans="1:15" x14ac:dyDescent="0.2">
      <c r="A33" s="7"/>
      <c r="B33" s="7"/>
      <c r="H33" s="3"/>
      <c r="J33">
        <v>-0.87879459391621784</v>
      </c>
      <c r="K33">
        <v>6.4430610083578292</v>
      </c>
      <c r="L33" s="7">
        <v>354.0205865197243</v>
      </c>
      <c r="M33" s="7">
        <v>1102622.7425137348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ve" enableFormatConditionsCalculation="0"/>
  <dimension ref="A1:P38"/>
  <sheetViews>
    <sheetView zoomScale="120" zoomScaleNormal="130" zoomScalePageLayoutView="130" workbookViewId="0">
      <pane xSplit="3" ySplit="3" topLeftCell="D20" activePane="bottomRight" state="frozen"/>
      <selection pane="topRight" activeCell="D1" sqref="D1"/>
      <selection pane="bottomLeft" activeCell="A4" sqref="A4"/>
      <selection pane="bottomRight" activeCell="D4" sqref="D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1</v>
      </c>
      <c r="D1" s="5" t="s">
        <v>14</v>
      </c>
      <c r="J1" t="s">
        <v>24</v>
      </c>
      <c r="K1">
        <v>0.7</v>
      </c>
      <c r="L1">
        <f>1-K1</f>
        <v>0.30000000000000004</v>
      </c>
      <c r="M1">
        <v>0.9</v>
      </c>
      <c r="N1">
        <f>1-M1</f>
        <v>9.9999999999999978E-2</v>
      </c>
    </row>
    <row r="2" spans="1:16" x14ac:dyDescent="0.2">
      <c r="B2" t="s">
        <v>22</v>
      </c>
      <c r="C2" s="5">
        <v>1</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4.223800054218521</v>
      </c>
      <c r="L3">
        <f>L33</f>
        <v>-15.966661111217437</v>
      </c>
      <c r="M3">
        <f>M33</f>
        <v>672.90108904624503</v>
      </c>
      <c r="N3">
        <f>N33</f>
        <v>2666772.9314021971</v>
      </c>
      <c r="O3" s="4"/>
      <c r="P3" s="4"/>
    </row>
    <row r="4" spans="1:16" x14ac:dyDescent="0.2">
      <c r="A4">
        <v>14</v>
      </c>
      <c r="B4">
        <v>58</v>
      </c>
      <c r="C4" s="3">
        <f>C1</f>
        <v>1</v>
      </c>
      <c r="D4" s="3">
        <f>C2</f>
        <v>1</v>
      </c>
      <c r="E4" s="3">
        <f>C4+D4*A4</f>
        <v>15</v>
      </c>
      <c r="F4" s="3">
        <f>(E4-B4)^2</f>
        <v>1849</v>
      </c>
      <c r="G4" s="7">
        <f t="shared" ref="G4:G32" si="0">2*(D4*A4+C4-B4)</f>
        <v>-86</v>
      </c>
      <c r="H4" s="7">
        <f t="shared" ref="H4:H32" si="1">G4*A4</f>
        <v>-1204</v>
      </c>
      <c r="I4" s="3">
        <f>C4-K4*$D$2/SQRT(M4)/$F$38</f>
        <v>1.6228226547538451</v>
      </c>
      <c r="J4" s="3">
        <f>D4-L4*$D$2/SQRT(N4)/$F$38</f>
        <v>1.2334176425301189</v>
      </c>
      <c r="K4">
        <f>K3*$K$1+$L$1*G4</f>
        <v>-22.84333996204704</v>
      </c>
      <c r="L4">
        <f>L3*$K$1+$L$1*H4</f>
        <v>-372.37666277785223</v>
      </c>
      <c r="M4">
        <f t="shared" ref="M4:N32" si="2">M3*$M$1+$N$1*G4^2</f>
        <v>1345.2109801416204</v>
      </c>
      <c r="N4">
        <f t="shared" si="2"/>
        <v>2545057.2382619777</v>
      </c>
    </row>
    <row r="5" spans="1:16" x14ac:dyDescent="0.2">
      <c r="A5">
        <v>86</v>
      </c>
      <c r="B5">
        <v>202</v>
      </c>
      <c r="C5" s="3">
        <f>I4</f>
        <v>1.6228226547538451</v>
      </c>
      <c r="D5" s="3">
        <f>J4</f>
        <v>1.2334176425301189</v>
      </c>
      <c r="E5" s="3">
        <f>C5+D5*A5</f>
        <v>107.69673991234407</v>
      </c>
      <c r="F5" s="3">
        <f t="shared" ref="F5:F32" si="3">(E5-B5)^2</f>
        <v>8893.1048631600788</v>
      </c>
      <c r="G5" s="7">
        <f t="shared" si="0"/>
        <v>-188.60652017531186</v>
      </c>
      <c r="H5" s="7">
        <f t="shared" si="1"/>
        <v>-16220.160735076819</v>
      </c>
      <c r="I5" s="3">
        <f t="shared" ref="I5:I32" si="4">C5-K5*$D$2/SQRT(M5)/$F$38</f>
        <v>2.6738301975603509</v>
      </c>
      <c r="J5" s="3">
        <f t="shared" ref="J5:J32" si="5">D5-L5*$D$2/SQRT(N5)/$F$38</f>
        <v>2.1920598705892598</v>
      </c>
      <c r="K5">
        <f t="shared" ref="K5:L20" si="6">K4*$K$1+$L$1*G5</f>
        <v>-72.572294026026498</v>
      </c>
      <c r="L5">
        <f t="shared" si="6"/>
        <v>-5126.7118844675433</v>
      </c>
      <c r="M5">
        <f t="shared" si="2"/>
        <v>4767.9318273914887</v>
      </c>
      <c r="N5">
        <f t="shared" si="2"/>
        <v>28599912.941608552</v>
      </c>
    </row>
    <row r="6" spans="1:16" x14ac:dyDescent="0.2">
      <c r="A6">
        <v>28</v>
      </c>
      <c r="B6">
        <v>86</v>
      </c>
      <c r="C6" s="3">
        <f>I5</f>
        <v>2.6738301975603509</v>
      </c>
      <c r="D6" s="3">
        <f>J5</f>
        <v>2.1920598705892598</v>
      </c>
      <c r="E6" s="3">
        <f>C6+D6*A6</f>
        <v>64.05150657405963</v>
      </c>
      <c r="F6" s="3">
        <f t="shared" si="3"/>
        <v>481.73636366854765</v>
      </c>
      <c r="G6" s="7">
        <f t="shared" si="0"/>
        <v>-43.89698685188074</v>
      </c>
      <c r="H6" s="7">
        <f t="shared" si="1"/>
        <v>-1229.1156318526607</v>
      </c>
      <c r="I6" s="3">
        <f t="shared" si="4"/>
        <v>3.6291518100984779</v>
      </c>
      <c r="J6" s="3">
        <f t="shared" si="5"/>
        <v>2.9698084175435473</v>
      </c>
      <c r="K6">
        <f t="shared" si="6"/>
        <v>-63.969701873782768</v>
      </c>
      <c r="L6">
        <f t="shared" si="6"/>
        <v>-3957.4330086830787</v>
      </c>
      <c r="M6">
        <f t="shared" si="2"/>
        <v>4483.8331901197589</v>
      </c>
      <c r="N6">
        <f t="shared" si="2"/>
        <v>25890994.171094153</v>
      </c>
    </row>
    <row r="7" spans="1:16" x14ac:dyDescent="0.2">
      <c r="A7">
        <v>51</v>
      </c>
      <c r="B7">
        <v>132</v>
      </c>
      <c r="C7" s="3">
        <f t="shared" ref="C7:D32" si="7">I6</f>
        <v>3.6291518100984779</v>
      </c>
      <c r="D7" s="3">
        <f t="shared" si="7"/>
        <v>2.9698084175435473</v>
      </c>
      <c r="E7" s="3">
        <f t="shared" ref="E7:E32" si="8">C7+D7*A7</f>
        <v>155.08938110481938</v>
      </c>
      <c r="F7" s="3">
        <f t="shared" si="3"/>
        <v>533.11951980359026</v>
      </c>
      <c r="G7" s="7">
        <f t="shared" si="0"/>
        <v>46.178762209638762</v>
      </c>
      <c r="H7" s="7">
        <f t="shared" si="1"/>
        <v>2355.1168726915766</v>
      </c>
      <c r="I7" s="3">
        <f t="shared" si="4"/>
        <v>4.1035948476136941</v>
      </c>
      <c r="J7" s="3">
        <f t="shared" si="5"/>
        <v>3.3923174511015532</v>
      </c>
      <c r="K7">
        <f t="shared" si="6"/>
        <v>-30.925162648756306</v>
      </c>
      <c r="L7">
        <f t="shared" si="6"/>
        <v>-2063.668044270682</v>
      </c>
      <c r="M7">
        <f t="shared" si="2"/>
        <v>4248.6976790292192</v>
      </c>
      <c r="N7">
        <f t="shared" si="2"/>
        <v>23856552.302388392</v>
      </c>
    </row>
    <row r="8" spans="1:16" x14ac:dyDescent="0.2">
      <c r="A8">
        <v>28</v>
      </c>
      <c r="B8">
        <v>86</v>
      </c>
      <c r="C8" s="3">
        <f t="shared" si="7"/>
        <v>4.1035948476136941</v>
      </c>
      <c r="D8" s="3">
        <f t="shared" si="7"/>
        <v>3.3923174511015532</v>
      </c>
      <c r="E8" s="3">
        <f t="shared" si="8"/>
        <v>99.088483478457178</v>
      </c>
      <c r="F8" s="3">
        <f t="shared" si="3"/>
        <v>171.3083997658465</v>
      </c>
      <c r="G8" s="7">
        <f t="shared" si="0"/>
        <v>26.176966956914356</v>
      </c>
      <c r="H8" s="7">
        <f t="shared" si="1"/>
        <v>732.95507479360197</v>
      </c>
      <c r="I8" s="3">
        <f t="shared" si="4"/>
        <v>4.3247009343852767</v>
      </c>
      <c r="J8" s="3">
        <f t="shared" si="5"/>
        <v>3.6562878801418925</v>
      </c>
      <c r="K8">
        <f t="shared" si="6"/>
        <v>-13.794523767055107</v>
      </c>
      <c r="L8">
        <f t="shared" si="6"/>
        <v>-1224.6811085513966</v>
      </c>
      <c r="M8">
        <f t="shared" si="2"/>
        <v>3892.3512710326359</v>
      </c>
      <c r="N8">
        <f t="shared" si="2"/>
        <v>21524619.386316121</v>
      </c>
    </row>
    <row r="9" spans="1:16" x14ac:dyDescent="0.2">
      <c r="A9">
        <v>29</v>
      </c>
      <c r="B9">
        <v>88</v>
      </c>
      <c r="C9" s="3">
        <f t="shared" si="7"/>
        <v>4.3247009343852767</v>
      </c>
      <c r="D9" s="3">
        <f t="shared" si="7"/>
        <v>3.6562878801418925</v>
      </c>
      <c r="E9" s="3">
        <f t="shared" si="8"/>
        <v>110.35704945850016</v>
      </c>
      <c r="F9" s="3">
        <f t="shared" si="3"/>
        <v>499.83766048982216</v>
      </c>
      <c r="G9" s="7">
        <f t="shared" si="0"/>
        <v>44.714098917000314</v>
      </c>
      <c r="H9" s="7">
        <f t="shared" si="1"/>
        <v>1296.7088685930091</v>
      </c>
      <c r="I9" s="3">
        <f t="shared" si="4"/>
        <v>4.2629442172318788</v>
      </c>
      <c r="J9" s="3">
        <f t="shared" si="5"/>
        <v>3.7622194071224295</v>
      </c>
      <c r="K9">
        <f t="shared" si="6"/>
        <v>3.7580630381615219</v>
      </c>
      <c r="L9">
        <f t="shared" si="6"/>
        <v>-468.26411540807476</v>
      </c>
      <c r="M9">
        <f t="shared" si="2"/>
        <v>3703.0512081253009</v>
      </c>
      <c r="N9">
        <f t="shared" si="2"/>
        <v>19540302.836673282</v>
      </c>
    </row>
    <row r="10" spans="1:16" x14ac:dyDescent="0.2">
      <c r="A10">
        <v>72</v>
      </c>
      <c r="B10">
        <v>174</v>
      </c>
      <c r="C10" s="3">
        <f t="shared" si="7"/>
        <v>4.2629442172318788</v>
      </c>
      <c r="D10" s="3">
        <f t="shared" si="7"/>
        <v>3.7622194071224295</v>
      </c>
      <c r="E10" s="3">
        <f t="shared" si="8"/>
        <v>275.14274153004681</v>
      </c>
      <c r="F10" s="3">
        <f t="shared" si="3"/>
        <v>10229.854164213855</v>
      </c>
      <c r="G10" s="7">
        <f t="shared" si="0"/>
        <v>202.28548306009361</v>
      </c>
      <c r="H10" s="7">
        <f t="shared" si="1"/>
        <v>14564.55478032674</v>
      </c>
      <c r="I10" s="3">
        <f t="shared" si="4"/>
        <v>3.5281320209872931</v>
      </c>
      <c r="J10" s="3">
        <f t="shared" si="5"/>
        <v>3.1133733788703055</v>
      </c>
      <c r="K10">
        <f t="shared" si="6"/>
        <v>63.316289044741154</v>
      </c>
      <c r="L10">
        <f t="shared" si="6"/>
        <v>4041.5815533123709</v>
      </c>
      <c r="M10">
        <f t="shared" si="2"/>
        <v>7424.6877529983121</v>
      </c>
      <c r="N10">
        <f t="shared" si="2"/>
        <v>38798898.147919804</v>
      </c>
    </row>
    <row r="11" spans="1:16" x14ac:dyDescent="0.2">
      <c r="A11">
        <v>62</v>
      </c>
      <c r="B11">
        <v>154</v>
      </c>
      <c r="C11" s="3">
        <f t="shared" si="7"/>
        <v>3.5281320209872931</v>
      </c>
      <c r="D11" s="3">
        <f t="shared" si="7"/>
        <v>3.1133733788703055</v>
      </c>
      <c r="E11" s="3">
        <f t="shared" si="8"/>
        <v>196.55728151094624</v>
      </c>
      <c r="F11" s="3">
        <f t="shared" si="3"/>
        <v>1811.1222096019267</v>
      </c>
      <c r="G11" s="7">
        <f t="shared" si="0"/>
        <v>85.114563021892479</v>
      </c>
      <c r="H11" s="7">
        <f t="shared" si="1"/>
        <v>5277.1029073573336</v>
      </c>
      <c r="I11" s="3">
        <f t="shared" si="4"/>
        <v>2.7164407849577321</v>
      </c>
      <c r="J11" s="3">
        <f t="shared" si="5"/>
        <v>2.3948077767174509</v>
      </c>
      <c r="K11">
        <f t="shared" si="6"/>
        <v>69.855771237886557</v>
      </c>
      <c r="L11">
        <f t="shared" si="6"/>
        <v>4412.2379595258599</v>
      </c>
      <c r="M11">
        <f t="shared" si="2"/>
        <v>7406.667861539252</v>
      </c>
      <c r="N11">
        <f t="shared" si="2"/>
        <v>37703789.842611745</v>
      </c>
    </row>
    <row r="12" spans="1:16" x14ac:dyDescent="0.2">
      <c r="A12">
        <v>84</v>
      </c>
      <c r="B12">
        <v>198</v>
      </c>
      <c r="C12" s="3">
        <f t="shared" si="7"/>
        <v>2.7164407849577321</v>
      </c>
      <c r="D12" s="3">
        <f t="shared" si="7"/>
        <v>2.3948077767174509</v>
      </c>
      <c r="E12" s="3">
        <f t="shared" si="8"/>
        <v>203.88029402922362</v>
      </c>
      <c r="F12" s="3">
        <f t="shared" si="3"/>
        <v>34.577857870122955</v>
      </c>
      <c r="G12" s="7">
        <f t="shared" si="0"/>
        <v>11.76058805844724</v>
      </c>
      <c r="H12" s="7">
        <f t="shared" si="1"/>
        <v>987.88939690956818</v>
      </c>
      <c r="I12" s="3">
        <f t="shared" si="4"/>
        <v>2.0749742244971272</v>
      </c>
      <c r="J12" s="3">
        <f t="shared" si="5"/>
        <v>1.8145609824457738</v>
      </c>
      <c r="K12">
        <f t="shared" si="6"/>
        <v>52.427216284054765</v>
      </c>
      <c r="L12">
        <f t="shared" si="6"/>
        <v>3384.9333907409723</v>
      </c>
      <c r="M12">
        <f t="shared" si="2"/>
        <v>6679.8322185333755</v>
      </c>
      <c r="N12">
        <f t="shared" si="2"/>
        <v>34031003.40440321</v>
      </c>
    </row>
    <row r="13" spans="1:16" x14ac:dyDescent="0.2">
      <c r="A13">
        <v>15</v>
      </c>
      <c r="B13">
        <v>60</v>
      </c>
      <c r="C13" s="3">
        <f t="shared" si="7"/>
        <v>2.0749742244971272</v>
      </c>
      <c r="D13" s="3">
        <f t="shared" si="7"/>
        <v>1.8145609824457738</v>
      </c>
      <c r="E13" s="3">
        <f t="shared" si="8"/>
        <v>29.293388961183734</v>
      </c>
      <c r="F13" s="3">
        <f t="shared" si="3"/>
        <v>942.89596148915302</v>
      </c>
      <c r="G13" s="7">
        <f t="shared" si="0"/>
        <v>-61.413222077632533</v>
      </c>
      <c r="H13" s="7">
        <f t="shared" si="1"/>
        <v>-921.19833116448797</v>
      </c>
      <c r="I13" s="3">
        <f t="shared" si="4"/>
        <v>1.8463392290631262</v>
      </c>
      <c r="J13" s="3">
        <f t="shared" si="5"/>
        <v>1.436876399369766</v>
      </c>
      <c r="K13">
        <f t="shared" si="6"/>
        <v>18.275084775548574</v>
      </c>
      <c r="L13">
        <f t="shared" si="6"/>
        <v>2093.093874169334</v>
      </c>
      <c r="M13">
        <f t="shared" si="2"/>
        <v>6389.0073812756991</v>
      </c>
      <c r="N13">
        <f t="shared" si="2"/>
        <v>30712763.700496912</v>
      </c>
    </row>
    <row r="14" spans="1:16" x14ac:dyDescent="0.2">
      <c r="A14">
        <v>42</v>
      </c>
      <c r="B14">
        <v>114</v>
      </c>
      <c r="C14" s="3">
        <f t="shared" si="7"/>
        <v>1.8463392290631262</v>
      </c>
      <c r="D14" s="3">
        <f t="shared" si="7"/>
        <v>1.436876399369766</v>
      </c>
      <c r="E14" s="3">
        <f t="shared" si="8"/>
        <v>62.195148002593299</v>
      </c>
      <c r="F14" s="3">
        <f t="shared" si="3"/>
        <v>2683.7426904732129</v>
      </c>
      <c r="G14" s="7">
        <f t="shared" si="0"/>
        <v>-103.6097039948134</v>
      </c>
      <c r="H14" s="7">
        <f t="shared" si="1"/>
        <v>-4351.6075677821627</v>
      </c>
      <c r="I14" s="3">
        <f t="shared" si="4"/>
        <v>2.0677583700487943</v>
      </c>
      <c r="J14" s="3">
        <f t="shared" si="5"/>
        <v>1.4074937876967266</v>
      </c>
      <c r="K14">
        <f t="shared" si="6"/>
        <v>-18.290351855560022</v>
      </c>
      <c r="L14">
        <f t="shared" si="6"/>
        <v>159.68344158388459</v>
      </c>
      <c r="M14">
        <f t="shared" si="2"/>
        <v>6823.6037193374141</v>
      </c>
      <c r="N14">
        <f t="shared" si="2"/>
        <v>29535136.172845121</v>
      </c>
    </row>
    <row r="15" spans="1:16" x14ac:dyDescent="0.2">
      <c r="A15">
        <v>62</v>
      </c>
      <c r="B15">
        <v>154</v>
      </c>
      <c r="C15" s="3">
        <f t="shared" si="7"/>
        <v>2.0677583700487943</v>
      </c>
      <c r="D15" s="3">
        <f>J14</f>
        <v>1.4074937876967266</v>
      </c>
      <c r="E15" s="3">
        <f t="shared" si="8"/>
        <v>89.332373207245837</v>
      </c>
      <c r="F15" s="3">
        <f t="shared" si="3"/>
        <v>4181.9019550069361</v>
      </c>
      <c r="G15" s="7">
        <f t="shared" si="0"/>
        <v>-129.33525358550833</v>
      </c>
      <c r="H15" s="7">
        <f t="shared" si="1"/>
        <v>-8018.7857223015162</v>
      </c>
      <c r="I15" s="3">
        <f t="shared" si="4"/>
        <v>2.6515327799079595</v>
      </c>
      <c r="J15" s="3">
        <f t="shared" si="5"/>
        <v>1.8067322323520627</v>
      </c>
      <c r="K15">
        <f t="shared" si="6"/>
        <v>-51.603822374544514</v>
      </c>
      <c r="L15">
        <f t="shared" si="6"/>
        <v>-2293.8573075817362</v>
      </c>
      <c r="M15">
        <f t="shared" si="2"/>
        <v>7814.0041294064467</v>
      </c>
      <c r="N15">
        <f t="shared" si="2"/>
        <v>33011715.001579277</v>
      </c>
    </row>
    <row r="16" spans="1:16" x14ac:dyDescent="0.2">
      <c r="A16">
        <v>47</v>
      </c>
      <c r="B16">
        <v>124</v>
      </c>
      <c r="C16" s="3">
        <f t="shared" si="7"/>
        <v>2.6515327799079595</v>
      </c>
      <c r="D16" s="3">
        <f t="shared" si="7"/>
        <v>1.8067322323520627</v>
      </c>
      <c r="E16" s="3">
        <f t="shared" si="8"/>
        <v>87.567947700454894</v>
      </c>
      <c r="F16" s="3">
        <f t="shared" si="3"/>
        <v>1327.2944347567898</v>
      </c>
      <c r="G16" s="7">
        <f t="shared" si="0"/>
        <v>-72.864104599090211</v>
      </c>
      <c r="H16" s="7">
        <f t="shared" si="1"/>
        <v>-3424.6129161572399</v>
      </c>
      <c r="I16" s="3">
        <f t="shared" si="4"/>
        <v>3.3182328069249198</v>
      </c>
      <c r="J16" s="3">
        <f t="shared" si="5"/>
        <v>2.2805404350114982</v>
      </c>
      <c r="K16">
        <f t="shared" si="6"/>
        <v>-57.981907041908229</v>
      </c>
      <c r="L16">
        <f t="shared" si="6"/>
        <v>-2633.0839901543877</v>
      </c>
      <c r="M16">
        <f t="shared" si="2"/>
        <v>7563.5214903685173</v>
      </c>
      <c r="N16">
        <f t="shared" si="2"/>
        <v>30883340.863972452</v>
      </c>
    </row>
    <row r="17" spans="1:14" x14ac:dyDescent="0.2">
      <c r="A17">
        <v>35</v>
      </c>
      <c r="B17">
        <v>100</v>
      </c>
      <c r="C17" s="3">
        <f t="shared" si="7"/>
        <v>3.3182328069249198</v>
      </c>
      <c r="D17" s="3">
        <f t="shared" si="7"/>
        <v>2.2805404350114982</v>
      </c>
      <c r="E17" s="3">
        <f t="shared" si="8"/>
        <v>83.13714803232736</v>
      </c>
      <c r="F17" s="3">
        <f t="shared" si="3"/>
        <v>284.35577648364102</v>
      </c>
      <c r="G17" s="7">
        <f t="shared" si="0"/>
        <v>-33.72570393534528</v>
      </c>
      <c r="H17" s="7">
        <f t="shared" si="1"/>
        <v>-1180.3996377370847</v>
      </c>
      <c r="I17" s="3">
        <f t="shared" si="4"/>
        <v>3.9277269397414845</v>
      </c>
      <c r="J17" s="3">
        <f t="shared" si="5"/>
        <v>2.6962748014300804</v>
      </c>
      <c r="K17">
        <f t="shared" si="6"/>
        <v>-50.705046109939346</v>
      </c>
      <c r="L17">
        <f t="shared" si="6"/>
        <v>-2197.2786844291968</v>
      </c>
      <c r="M17">
        <f t="shared" si="2"/>
        <v>6920.9116519251229</v>
      </c>
      <c r="N17">
        <f t="shared" si="2"/>
        <v>27934341.10805219</v>
      </c>
    </row>
    <row r="18" spans="1:14" x14ac:dyDescent="0.2">
      <c r="A18">
        <v>9</v>
      </c>
      <c r="B18">
        <v>48</v>
      </c>
      <c r="C18" s="3">
        <f t="shared" si="7"/>
        <v>3.9277269397414845</v>
      </c>
      <c r="D18" s="3">
        <f t="shared" si="7"/>
        <v>2.6962748014300804</v>
      </c>
      <c r="E18" s="3">
        <f t="shared" si="8"/>
        <v>28.194200152612204</v>
      </c>
      <c r="F18" s="3">
        <f t="shared" si="3"/>
        <v>392.26970759478644</v>
      </c>
      <c r="G18" s="7">
        <f t="shared" si="0"/>
        <v>-39.611599694775592</v>
      </c>
      <c r="H18" s="7">
        <f t="shared" si="1"/>
        <v>-356.50439725298031</v>
      </c>
      <c r="I18" s="3">
        <f t="shared" si="4"/>
        <v>4.5206009984374624</v>
      </c>
      <c r="J18" s="3">
        <f t="shared" si="5"/>
        <v>3.0242778904283361</v>
      </c>
      <c r="K18">
        <f t="shared" si="6"/>
        <v>-47.377012185390214</v>
      </c>
      <c r="L18">
        <f t="shared" si="6"/>
        <v>-1645.0463982763317</v>
      </c>
      <c r="M18">
        <f t="shared" si="2"/>
        <v>6385.7283697705252</v>
      </c>
      <c r="N18">
        <f t="shared" si="2"/>
        <v>25153616.535773043</v>
      </c>
    </row>
    <row r="19" spans="1:14" x14ac:dyDescent="0.2">
      <c r="A19">
        <v>38</v>
      </c>
      <c r="B19">
        <v>106</v>
      </c>
      <c r="C19" s="3">
        <f t="shared" si="7"/>
        <v>4.5206009984374624</v>
      </c>
      <c r="D19" s="3">
        <f t="shared" si="7"/>
        <v>3.0242778904283361</v>
      </c>
      <c r="E19" s="3">
        <f t="shared" si="8"/>
        <v>119.44316083471423</v>
      </c>
      <c r="F19" s="3">
        <f t="shared" si="3"/>
        <v>180.71857322799471</v>
      </c>
      <c r="G19" s="7">
        <f t="shared" si="0"/>
        <v>26.886321669428469</v>
      </c>
      <c r="H19" s="7">
        <f t="shared" si="1"/>
        <v>1021.6802234382818</v>
      </c>
      <c r="I19" s="3">
        <f t="shared" si="4"/>
        <v>4.8496030568660711</v>
      </c>
      <c r="J19" s="3">
        <f t="shared" si="5"/>
        <v>3.2014726576531061</v>
      </c>
      <c r="K19">
        <f t="shared" si="6"/>
        <v>-25.098012028944602</v>
      </c>
      <c r="L19">
        <f t="shared" si="6"/>
        <v>-845.02841176194761</v>
      </c>
      <c r="M19">
        <f t="shared" si="2"/>
        <v>5819.4429620846704</v>
      </c>
      <c r="N19">
        <f t="shared" si="2"/>
        <v>22742637.930092227</v>
      </c>
    </row>
    <row r="20" spans="1:14" x14ac:dyDescent="0.2">
      <c r="A20">
        <v>44</v>
      </c>
      <c r="B20">
        <v>118</v>
      </c>
      <c r="C20" s="3">
        <f t="shared" si="7"/>
        <v>4.8496030568660711</v>
      </c>
      <c r="D20" s="3">
        <f t="shared" si="7"/>
        <v>3.2014726576531061</v>
      </c>
      <c r="E20" s="3">
        <f t="shared" si="8"/>
        <v>145.71439999360274</v>
      </c>
      <c r="F20" s="3">
        <f t="shared" si="3"/>
        <v>768.08796700540756</v>
      </c>
      <c r="G20" s="7">
        <f t="shared" si="0"/>
        <v>55.42879998720548</v>
      </c>
      <c r="H20" s="7">
        <f t="shared" si="1"/>
        <v>2438.8671994370411</v>
      </c>
      <c r="I20" s="3">
        <f t="shared" si="4"/>
        <v>4.8622263571214077</v>
      </c>
      <c r="J20" s="3">
        <f t="shared" si="5"/>
        <v>3.1709374434965127</v>
      </c>
      <c r="K20">
        <f t="shared" si="6"/>
        <v>-0.93996842409957537</v>
      </c>
      <c r="L20">
        <f t="shared" si="6"/>
        <v>140.14027159774912</v>
      </c>
      <c r="M20">
        <f t="shared" si="2"/>
        <v>5544.7338526783669</v>
      </c>
      <c r="N20">
        <f t="shared" si="2"/>
        <v>21063181.458731994</v>
      </c>
    </row>
    <row r="21" spans="1:14" x14ac:dyDescent="0.2">
      <c r="A21">
        <v>99</v>
      </c>
      <c r="B21">
        <v>228</v>
      </c>
      <c r="C21" s="3">
        <f t="shared" si="7"/>
        <v>4.8622263571214077</v>
      </c>
      <c r="D21" s="3">
        <f t="shared" si="7"/>
        <v>3.1709374434965127</v>
      </c>
      <c r="E21" s="3">
        <f t="shared" si="8"/>
        <v>318.78503326327615</v>
      </c>
      <c r="F21" s="3">
        <f t="shared" si="3"/>
        <v>8241.922264614157</v>
      </c>
      <c r="G21" s="7">
        <f t="shared" si="0"/>
        <v>181.5700665265523</v>
      </c>
      <c r="H21" s="7">
        <f t="shared" si="1"/>
        <v>17975.436586128679</v>
      </c>
      <c r="I21" s="3">
        <f t="shared" si="4"/>
        <v>4.2710894099923173</v>
      </c>
      <c r="J21" s="3">
        <f t="shared" si="5"/>
        <v>2.4040974824814256</v>
      </c>
      <c r="K21">
        <f t="shared" ref="K21:L32" si="9">K20*$K$1+$L$1*G21</f>
        <v>53.813042061095992</v>
      </c>
      <c r="L21">
        <f t="shared" si="9"/>
        <v>5490.7291659570283</v>
      </c>
      <c r="M21">
        <f t="shared" si="2"/>
        <v>8287.0293732561931</v>
      </c>
      <c r="N21">
        <f t="shared" si="2"/>
        <v>51268495.359052129</v>
      </c>
    </row>
    <row r="22" spans="1:14" x14ac:dyDescent="0.2">
      <c r="A22">
        <v>13</v>
      </c>
      <c r="B22">
        <v>56</v>
      </c>
      <c r="C22" s="3">
        <f t="shared" si="7"/>
        <v>4.2710894099923173</v>
      </c>
      <c r="D22" s="3">
        <f t="shared" si="7"/>
        <v>2.4040974824814256</v>
      </c>
      <c r="E22" s="3">
        <f t="shared" si="8"/>
        <v>35.524356682250854</v>
      </c>
      <c r="F22" s="3">
        <f t="shared" si="3"/>
        <v>419.25196927568527</v>
      </c>
      <c r="G22" s="7">
        <f t="shared" si="0"/>
        <v>-40.951286635498292</v>
      </c>
      <c r="H22" s="7">
        <f t="shared" si="1"/>
        <v>-532.36672626147777</v>
      </c>
      <c r="I22" s="3">
        <f t="shared" si="4"/>
        <v>3.9804152044489416</v>
      </c>
      <c r="J22" s="3">
        <f t="shared" si="5"/>
        <v>1.8619515382709513</v>
      </c>
      <c r="K22">
        <f t="shared" si="9"/>
        <v>25.383743452117706</v>
      </c>
      <c r="L22">
        <f t="shared" si="9"/>
        <v>3683.8003982914761</v>
      </c>
      <c r="M22">
        <f t="shared" si="2"/>
        <v>7626.0272236408482</v>
      </c>
      <c r="N22">
        <f t="shared" si="2"/>
        <v>46169987.256269954</v>
      </c>
    </row>
    <row r="23" spans="1:14" x14ac:dyDescent="0.2">
      <c r="A23">
        <v>21</v>
      </c>
      <c r="B23">
        <v>72</v>
      </c>
      <c r="C23" s="3">
        <f t="shared" si="7"/>
        <v>3.9804152044489416</v>
      </c>
      <c r="D23" s="3">
        <f t="shared" si="7"/>
        <v>1.8619515382709513</v>
      </c>
      <c r="E23" s="3">
        <f t="shared" si="8"/>
        <v>43.081397508138913</v>
      </c>
      <c r="F23" s="3">
        <f t="shared" si="3"/>
        <v>836.28557008227426</v>
      </c>
      <c r="G23" s="7">
        <f t="shared" si="0"/>
        <v>-57.837204983722174</v>
      </c>
      <c r="H23" s="7">
        <f t="shared" si="1"/>
        <v>-1214.5813046581657</v>
      </c>
      <c r="I23" s="3">
        <f t="shared" si="4"/>
        <v>3.9754946994893468</v>
      </c>
      <c r="J23" s="3">
        <f t="shared" si="5"/>
        <v>1.5190550696342595</v>
      </c>
      <c r="K23">
        <f t="shared" si="9"/>
        <v>0.41745892136573559</v>
      </c>
      <c r="L23">
        <f t="shared" si="9"/>
        <v>2214.2858874065832</v>
      </c>
      <c r="M23">
        <f t="shared" si="2"/>
        <v>7197.9387293096734</v>
      </c>
      <c r="N23">
        <f t="shared" si="2"/>
        <v>41700509.305205472</v>
      </c>
    </row>
    <row r="24" spans="1:14" x14ac:dyDescent="0.2">
      <c r="A24">
        <v>28</v>
      </c>
      <c r="B24">
        <v>86</v>
      </c>
      <c r="C24" s="3">
        <f t="shared" si="7"/>
        <v>3.9754946994893468</v>
      </c>
      <c r="D24" s="3">
        <f t="shared" si="7"/>
        <v>1.5190550696342595</v>
      </c>
      <c r="E24" s="3">
        <f t="shared" si="8"/>
        <v>46.509036649248614</v>
      </c>
      <c r="F24" s="3">
        <f t="shared" si="3"/>
        <v>1559.536186370389</v>
      </c>
      <c r="G24" s="7">
        <f t="shared" si="0"/>
        <v>-78.981926701502772</v>
      </c>
      <c r="H24" s="7">
        <f t="shared" si="1"/>
        <v>-2211.4939476420777</v>
      </c>
      <c r="I24" s="3">
        <f t="shared" si="4"/>
        <v>4.2531912629467268</v>
      </c>
      <c r="J24" s="3">
        <f t="shared" si="5"/>
        <v>1.3752742956170223</v>
      </c>
      <c r="K24">
        <f t="shared" si="9"/>
        <v>-23.402356765494822</v>
      </c>
      <c r="L24">
        <f t="shared" si="9"/>
        <v>886.55193689198472</v>
      </c>
      <c r="M24">
        <f t="shared" si="2"/>
        <v>7101.9593309268621</v>
      </c>
      <c r="N24">
        <f t="shared" si="2"/>
        <v>38019528.922730677</v>
      </c>
    </row>
    <row r="25" spans="1:14" x14ac:dyDescent="0.2">
      <c r="A25">
        <v>20</v>
      </c>
      <c r="B25">
        <v>70</v>
      </c>
      <c r="C25" s="3">
        <f t="shared" si="7"/>
        <v>4.2531912629467268</v>
      </c>
      <c r="D25" s="3">
        <f t="shared" si="7"/>
        <v>1.3752742956170223</v>
      </c>
      <c r="E25" s="3">
        <f t="shared" si="8"/>
        <v>31.758677175287175</v>
      </c>
      <c r="F25" s="3">
        <f t="shared" si="3"/>
        <v>1462.3987713839019</v>
      </c>
      <c r="G25" s="7">
        <f t="shared" si="0"/>
        <v>-76.482645649425649</v>
      </c>
      <c r="H25" s="7">
        <f t="shared" si="1"/>
        <v>-1529.652912988513</v>
      </c>
      <c r="I25" s="3">
        <f t="shared" si="4"/>
        <v>4.7240156336475074</v>
      </c>
      <c r="J25" s="3">
        <f t="shared" si="5"/>
        <v>1.347726933970729</v>
      </c>
      <c r="K25">
        <f t="shared" si="9"/>
        <v>-39.326443430674075</v>
      </c>
      <c r="L25">
        <f t="shared" si="9"/>
        <v>161.69048192783526</v>
      </c>
      <c r="M25">
        <f t="shared" si="2"/>
        <v>6976.7229063877367</v>
      </c>
      <c r="N25">
        <f t="shared" si="2"/>
        <v>34451559.833879031</v>
      </c>
    </row>
    <row r="26" spans="1:14" x14ac:dyDescent="0.2">
      <c r="A26">
        <v>8</v>
      </c>
      <c r="B26">
        <v>46</v>
      </c>
      <c r="C26" s="3">
        <f t="shared" si="7"/>
        <v>4.7240156336475074</v>
      </c>
      <c r="D26" s="3">
        <f t="shared" si="7"/>
        <v>1.347726933970729</v>
      </c>
      <c r="E26" s="3">
        <f t="shared" si="8"/>
        <v>15.505831105413339</v>
      </c>
      <c r="F26" s="3">
        <f t="shared" si="3"/>
        <v>929.89433657157667</v>
      </c>
      <c r="G26" s="7">
        <f t="shared" si="0"/>
        <v>-60.988337789173322</v>
      </c>
      <c r="H26" s="7">
        <f t="shared" si="1"/>
        <v>-487.90670231338657</v>
      </c>
      <c r="I26" s="3">
        <f t="shared" si="4"/>
        <v>5.2859153829545518</v>
      </c>
      <c r="J26" s="3">
        <f t="shared" si="5"/>
        <v>1.3536848933958632</v>
      </c>
      <c r="K26">
        <f t="shared" si="9"/>
        <v>-45.82501173822385</v>
      </c>
      <c r="L26">
        <f t="shared" si="9"/>
        <v>-33.18867334453131</v>
      </c>
      <c r="M26">
        <f t="shared" si="2"/>
        <v>6651.0083503775941</v>
      </c>
      <c r="N26">
        <f t="shared" si="2"/>
        <v>31030209.145507362</v>
      </c>
    </row>
    <row r="27" spans="1:14" x14ac:dyDescent="0.2">
      <c r="A27">
        <v>64</v>
      </c>
      <c r="B27">
        <v>158</v>
      </c>
      <c r="C27" s="3">
        <f t="shared" si="7"/>
        <v>5.2859153829545518</v>
      </c>
      <c r="D27" s="3">
        <f t="shared" si="7"/>
        <v>1.3536848933958632</v>
      </c>
      <c r="E27" s="3">
        <f t="shared" si="8"/>
        <v>91.921748560289799</v>
      </c>
      <c r="F27" s="3">
        <f t="shared" si="3"/>
        <v>4366.3353133295632</v>
      </c>
      <c r="G27" s="7">
        <f t="shared" si="0"/>
        <v>-132.1565028794204</v>
      </c>
      <c r="H27" s="7">
        <f t="shared" si="1"/>
        <v>-8458.0161842829057</v>
      </c>
      <c r="I27" s="3">
        <f t="shared" si="4"/>
        <v>6.101574990746788</v>
      </c>
      <c r="J27" s="3">
        <f t="shared" si="5"/>
        <v>1.7860116067024805</v>
      </c>
      <c r="K27">
        <f t="shared" si="9"/>
        <v>-71.724459080582818</v>
      </c>
      <c r="L27">
        <f t="shared" si="9"/>
        <v>-2560.636926626044</v>
      </c>
      <c r="M27">
        <f t="shared" si="2"/>
        <v>7732.4416406716591</v>
      </c>
      <c r="N27">
        <f t="shared" si="2"/>
        <v>35080992.008315779</v>
      </c>
    </row>
    <row r="28" spans="1:14" x14ac:dyDescent="0.2">
      <c r="A28">
        <v>99</v>
      </c>
      <c r="B28">
        <v>228</v>
      </c>
      <c r="C28" s="3">
        <f t="shared" si="7"/>
        <v>6.101574990746788</v>
      </c>
      <c r="D28" s="3">
        <f t="shared" si="7"/>
        <v>1.7860116067024805</v>
      </c>
      <c r="E28" s="3">
        <f t="shared" si="8"/>
        <v>182.91672405429236</v>
      </c>
      <c r="F28" s="3">
        <f t="shared" si="3"/>
        <v>2032.5017699968212</v>
      </c>
      <c r="G28" s="7">
        <f t="shared" si="0"/>
        <v>-90.166551891415281</v>
      </c>
      <c r="H28" s="7">
        <f t="shared" si="1"/>
        <v>-8926.4886372501132</v>
      </c>
      <c r="I28" s="3">
        <f t="shared" si="4"/>
        <v>6.9779023997436784</v>
      </c>
      <c r="J28" s="3">
        <f t="shared" si="5"/>
        <v>2.4969323831555772</v>
      </c>
      <c r="K28">
        <f t="shared" si="9"/>
        <v>-77.25708692383256</v>
      </c>
      <c r="L28">
        <f t="shared" si="9"/>
        <v>-4470.3924398132649</v>
      </c>
      <c r="M28">
        <f t="shared" si="2"/>
        <v>7772.1981846032213</v>
      </c>
      <c r="N28">
        <f t="shared" si="2"/>
        <v>39541112.746579736</v>
      </c>
    </row>
    <row r="29" spans="1:14" x14ac:dyDescent="0.2">
      <c r="A29">
        <v>70</v>
      </c>
      <c r="B29">
        <v>170</v>
      </c>
      <c r="C29" s="3">
        <f t="shared" si="7"/>
        <v>6.9779023997436784</v>
      </c>
      <c r="D29" s="3">
        <f t="shared" si="7"/>
        <v>2.4969323831555772</v>
      </c>
      <c r="E29" s="3">
        <f t="shared" si="8"/>
        <v>181.76316922063407</v>
      </c>
      <c r="F29" s="3">
        <f t="shared" si="3"/>
        <v>138.37215011327274</v>
      </c>
      <c r="G29" s="7">
        <f t="shared" si="0"/>
        <v>23.526338441268138</v>
      </c>
      <c r="H29" s="7">
        <f t="shared" si="1"/>
        <v>1646.8436908887697</v>
      </c>
      <c r="I29" s="3">
        <f t="shared" si="4"/>
        <v>7.5379139801433137</v>
      </c>
      <c r="J29" s="3">
        <f t="shared" si="5"/>
        <v>2.9370034672785499</v>
      </c>
      <c r="K29">
        <f t="shared" si="9"/>
        <v>-47.022059314302346</v>
      </c>
      <c r="L29">
        <f t="shared" si="9"/>
        <v>-2635.2216006026542</v>
      </c>
      <c r="M29">
        <f t="shared" si="2"/>
        <v>7050.3272261882084</v>
      </c>
      <c r="N29">
        <f t="shared" si="2"/>
        <v>35858210.886143781</v>
      </c>
    </row>
    <row r="30" spans="1:14" x14ac:dyDescent="0.2">
      <c r="A30">
        <v>27</v>
      </c>
      <c r="B30">
        <v>84</v>
      </c>
      <c r="C30" s="3">
        <f t="shared" si="7"/>
        <v>7.5379139801433137</v>
      </c>
      <c r="D30" s="3">
        <f t="shared" si="7"/>
        <v>2.9370034672785499</v>
      </c>
      <c r="E30" s="3">
        <f t="shared" si="8"/>
        <v>86.837007596664165</v>
      </c>
      <c r="F30" s="3">
        <f t="shared" si="3"/>
        <v>8.0486121035301821</v>
      </c>
      <c r="G30" s="7">
        <f t="shared" si="0"/>
        <v>5.67401519332833</v>
      </c>
      <c r="H30" s="7">
        <f t="shared" si="1"/>
        <v>153.19841021986491</v>
      </c>
      <c r="I30" s="3">
        <f t="shared" si="4"/>
        <v>7.9296583561727489</v>
      </c>
      <c r="J30" s="3">
        <f t="shared" si="5"/>
        <v>3.2536146989050541</v>
      </c>
      <c r="K30">
        <f t="shared" si="9"/>
        <v>-31.213236962013141</v>
      </c>
      <c r="L30">
        <f t="shared" si="9"/>
        <v>-1798.6955973558984</v>
      </c>
      <c r="M30">
        <f t="shared" si="2"/>
        <v>6348.5139484107995</v>
      </c>
      <c r="N30">
        <f t="shared" si="2"/>
        <v>32274736.772818793</v>
      </c>
    </row>
    <row r="31" spans="1:14" x14ac:dyDescent="0.2">
      <c r="A31">
        <v>17</v>
      </c>
      <c r="B31">
        <v>64</v>
      </c>
      <c r="C31" s="3">
        <f t="shared" si="7"/>
        <v>7.9296583561727489</v>
      </c>
      <c r="D31" s="3">
        <f t="shared" si="7"/>
        <v>3.2536146989050541</v>
      </c>
      <c r="E31" s="3">
        <f t="shared" si="8"/>
        <v>63.24110823755867</v>
      </c>
      <c r="F31" s="3">
        <f t="shared" si="3"/>
        <v>0.57591670710130782</v>
      </c>
      <c r="G31" s="7">
        <f t="shared" si="0"/>
        <v>-1.5177835248826597</v>
      </c>
      <c r="H31" s="7">
        <f t="shared" si="1"/>
        <v>-25.802319923005214</v>
      </c>
      <c r="I31" s="3">
        <f t="shared" si="4"/>
        <v>8.2247306336053132</v>
      </c>
      <c r="J31" s="3">
        <f t="shared" si="5"/>
        <v>3.4886669499086054</v>
      </c>
      <c r="K31">
        <f t="shared" si="9"/>
        <v>-22.304600930873995</v>
      </c>
      <c r="L31">
        <f t="shared" si="9"/>
        <v>-1266.8276141260303</v>
      </c>
      <c r="M31">
        <f t="shared" si="2"/>
        <v>5713.8929202525596</v>
      </c>
      <c r="N31">
        <f t="shared" si="2"/>
        <v>29047329.671508256</v>
      </c>
    </row>
    <row r="32" spans="1:14" x14ac:dyDescent="0.2">
      <c r="A32">
        <v>8</v>
      </c>
      <c r="B32">
        <v>46</v>
      </c>
      <c r="C32" s="3">
        <f t="shared" si="7"/>
        <v>8.2247306336053132</v>
      </c>
      <c r="D32" s="3">
        <f t="shared" si="7"/>
        <v>3.4886669499086054</v>
      </c>
      <c r="E32" s="3">
        <f t="shared" si="8"/>
        <v>36.134066232874154</v>
      </c>
      <c r="F32" s="3">
        <f t="shared" si="3"/>
        <v>97.33664909731398</v>
      </c>
      <c r="G32" s="7">
        <f t="shared" si="0"/>
        <v>-19.731867534251691</v>
      </c>
      <c r="H32" s="7">
        <f t="shared" si="1"/>
        <v>-157.85494027401353</v>
      </c>
      <c r="I32" s="3">
        <f t="shared" si="4"/>
        <v>8.5238709554993228</v>
      </c>
      <c r="J32" s="3">
        <f t="shared" si="5"/>
        <v>3.6713570289290445</v>
      </c>
      <c r="K32">
        <f t="shared" si="9"/>
        <v>-21.532780911887304</v>
      </c>
      <c r="L32">
        <f t="shared" si="9"/>
        <v>-934.13581197042515</v>
      </c>
      <c r="M32">
        <f t="shared" si="2"/>
        <v>5181.43828786623</v>
      </c>
      <c r="N32">
        <f t="shared" si="2"/>
        <v>26145088.52257432</v>
      </c>
    </row>
    <row r="33" spans="1:16" x14ac:dyDescent="0.2">
      <c r="A33" s="7"/>
      <c r="B33" s="7"/>
      <c r="E33" s="5" t="s">
        <v>25</v>
      </c>
      <c r="F33" s="5">
        <f>SQRT(SUM(F4:F32))</f>
        <v>235.28150716589968</v>
      </c>
      <c r="I33" s="3"/>
      <c r="K33">
        <v>4.223800054218521</v>
      </c>
      <c r="L33">
        <v>-15.966661111217437</v>
      </c>
      <c r="M33" s="7">
        <v>672.90108904624503</v>
      </c>
      <c r="N33" s="7">
        <v>2666772.9314021971</v>
      </c>
      <c r="P33" s="10"/>
    </row>
    <row r="34" spans="1:16" x14ac:dyDescent="0.2">
      <c r="E34" s="5" t="s">
        <v>26</v>
      </c>
      <c r="F34" s="5">
        <v>239.79849927509557</v>
      </c>
    </row>
    <row r="35" spans="1:16" x14ac:dyDescent="0.2">
      <c r="E35" s="5" t="s">
        <v>27</v>
      </c>
      <c r="F35" s="5">
        <v>119.89924963754778</v>
      </c>
    </row>
    <row r="36" spans="1:16" x14ac:dyDescent="0.2">
      <c r="E36" s="5" t="s">
        <v>28</v>
      </c>
      <c r="F36" s="7">
        <f>ABS(ft_1-ft_2)/MIN(ft_1,ft_2)</f>
        <v>1</v>
      </c>
    </row>
    <row r="37" spans="1:16" x14ac:dyDescent="0.2">
      <c r="E37" s="5" t="s">
        <v>29</v>
      </c>
      <c r="F37" s="7">
        <v>1</v>
      </c>
      <c r="H37" s="7" t="s">
        <v>24</v>
      </c>
    </row>
    <row r="38" spans="1:16" x14ac:dyDescent="0.2">
      <c r="E38" s="5" t="s">
        <v>30</v>
      </c>
      <c r="F38" s="7">
        <f>dt_1*H38+(1-H38)*rtee</f>
        <v>1</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nnealing" enableFormatConditionsCalculation="0"/>
  <dimension ref="A1:J33"/>
  <sheetViews>
    <sheetView tabSelected="1" zoomScale="120" zoomScaleNormal="120" zoomScalePageLayoutView="120" workbookViewId="0">
      <selection activeCell="J1" sqref="J1"/>
    </sheetView>
  </sheetViews>
  <sheetFormatPr baseColWidth="10" defaultColWidth="8.83203125" defaultRowHeight="15" x14ac:dyDescent="0.2"/>
  <cols>
    <col min="1" max="1" width="9.6640625" customWidth="1"/>
    <col min="2" max="2" width="3.83203125" bestFit="1" customWidth="1"/>
    <col min="3" max="5" width="8.83203125" style="5"/>
    <col min="6" max="6" width="9" bestFit="1" customWidth="1"/>
    <col min="7" max="7" width="12.83203125" customWidth="1"/>
    <col min="8" max="8" width="13.1640625" customWidth="1"/>
    <col min="9" max="9" width="9" bestFit="1" customWidth="1"/>
  </cols>
  <sheetData>
    <row r="1" spans="1:10" x14ac:dyDescent="0.2">
      <c r="B1" t="s">
        <v>21</v>
      </c>
      <c r="C1" s="5">
        <v>29.406245790980623</v>
      </c>
      <c r="D1" s="5" t="s">
        <v>14</v>
      </c>
      <c r="F1">
        <v>0.27585466085056881</v>
      </c>
      <c r="G1">
        <v>16.186122587302258</v>
      </c>
      <c r="H1">
        <v>100</v>
      </c>
      <c r="J1">
        <v>8.1502795969492121E-3</v>
      </c>
    </row>
    <row r="2" spans="1:10" x14ac:dyDescent="0.2">
      <c r="B2" t="s">
        <v>22</v>
      </c>
      <c r="C2" s="5">
        <v>2.0217110111321754</v>
      </c>
      <c r="D2">
        <v>3.90625E-3</v>
      </c>
      <c r="F2">
        <f>$D$2/F1</f>
        <v>1.4160536522948314E-2</v>
      </c>
      <c r="G2">
        <f>$D$2/G1</f>
        <v>2.4133327663441694E-4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29.406245790980623</v>
      </c>
      <c r="D4" s="5">
        <f>C2</f>
        <v>2.0217110111321754</v>
      </c>
      <c r="E4" s="5">
        <f>C4+D4*A4</f>
        <v>57.710199946831082</v>
      </c>
      <c r="F4" s="3">
        <f t="shared" ref="F4:F32" si="0">2*(D4*A4+C4-B4)</f>
        <v>-0.57960010633783554</v>
      </c>
      <c r="G4" s="3">
        <f t="shared" ref="G4:G32" si="1">F4*A4</f>
        <v>-8.1144014887296976</v>
      </c>
      <c r="H4" s="3">
        <f t="shared" ref="H4:H32" si="2">D4-G4*$G$2</f>
        <v>2.0236692862313777</v>
      </c>
      <c r="I4" s="3">
        <f t="shared" ref="I4:I32" si="3">C4-F4*$F$2</f>
        <v>29.414453239455124</v>
      </c>
    </row>
    <row r="5" spans="1:10" x14ac:dyDescent="0.2">
      <c r="A5">
        <v>86</v>
      </c>
      <c r="B5">
        <v>202</v>
      </c>
      <c r="C5" s="5">
        <f>I4</f>
        <v>29.414453239455124</v>
      </c>
      <c r="D5" s="5">
        <f>H4</f>
        <v>2.0236692862313777</v>
      </c>
      <c r="E5" s="5">
        <f>C5+D5*A5</f>
        <v>203.45001185535361</v>
      </c>
      <c r="F5" s="3">
        <f t="shared" si="0"/>
        <v>2.9000237107072167</v>
      </c>
      <c r="G5" s="3">
        <f t="shared" si="1"/>
        <v>249.40203912082063</v>
      </c>
      <c r="H5" s="3">
        <f t="shared" si="2"/>
        <v>1.9634802749310449</v>
      </c>
      <c r="I5" s="3">
        <f t="shared" si="3"/>
        <v>29.373387347782238</v>
      </c>
    </row>
    <row r="6" spans="1:10" x14ac:dyDescent="0.2">
      <c r="A6">
        <v>28</v>
      </c>
      <c r="B6">
        <v>86</v>
      </c>
      <c r="C6" s="5">
        <f>I5</f>
        <v>29.373387347782238</v>
      </c>
      <c r="D6" s="5">
        <f>H5</f>
        <v>1.9634802749310449</v>
      </c>
      <c r="E6" s="5">
        <f>C6+D6*A6</f>
        <v>84.350835045851497</v>
      </c>
      <c r="F6" s="3">
        <f t="shared" si="0"/>
        <v>-3.2983299082970063</v>
      </c>
      <c r="G6" s="3">
        <f t="shared" si="1"/>
        <v>-92.353237432316178</v>
      </c>
      <c r="H6" s="3">
        <f t="shared" si="2"/>
        <v>1.9857681843283821</v>
      </c>
      <c r="I6" s="3">
        <f t="shared" si="3"/>
        <v>29.420093468913411</v>
      </c>
    </row>
    <row r="7" spans="1:10" x14ac:dyDescent="0.2">
      <c r="A7">
        <v>51</v>
      </c>
      <c r="B7">
        <v>132</v>
      </c>
      <c r="C7" s="5">
        <f t="shared" ref="C7:C32" si="4">I6</f>
        <v>29.420093468913411</v>
      </c>
      <c r="D7" s="5">
        <f t="shared" ref="D7:D32" si="5">H6</f>
        <v>1.9857681843283821</v>
      </c>
      <c r="E7" s="5">
        <f t="shared" ref="E7:E32" si="6">C7+D7*A7</f>
        <v>130.6942708696609</v>
      </c>
      <c r="F7" s="3">
        <f t="shared" si="0"/>
        <v>-2.6114582606782051</v>
      </c>
      <c r="G7" s="3">
        <f t="shared" si="1"/>
        <v>-133.18437129458846</v>
      </c>
      <c r="H7" s="3">
        <f t="shared" si="2"/>
        <v>2.0179100050494001</v>
      </c>
      <c r="I7" s="3">
        <f t="shared" si="3"/>
        <v>29.4570731189919</v>
      </c>
    </row>
    <row r="8" spans="1:10" x14ac:dyDescent="0.2">
      <c r="A8">
        <v>28</v>
      </c>
      <c r="B8">
        <v>86</v>
      </c>
      <c r="C8" s="5">
        <f t="shared" si="4"/>
        <v>29.4570731189919</v>
      </c>
      <c r="D8" s="5">
        <f t="shared" si="5"/>
        <v>2.0179100050494001</v>
      </c>
      <c r="E8" s="5">
        <f t="shared" si="6"/>
        <v>85.958553260375112</v>
      </c>
      <c r="F8" s="3">
        <f t="shared" si="0"/>
        <v>-8.2893479249776192E-2</v>
      </c>
      <c r="G8" s="3">
        <f t="shared" si="1"/>
        <v>-2.3210174189937334</v>
      </c>
      <c r="H8" s="3">
        <f t="shared" si="2"/>
        <v>2.0184701437882513</v>
      </c>
      <c r="I8" s="3">
        <f t="shared" si="3"/>
        <v>29.45824693513233</v>
      </c>
    </row>
    <row r="9" spans="1:10" x14ac:dyDescent="0.2">
      <c r="A9">
        <v>29</v>
      </c>
      <c r="B9">
        <v>88</v>
      </c>
      <c r="C9" s="5">
        <f t="shared" si="4"/>
        <v>29.45824693513233</v>
      </c>
      <c r="D9" s="5">
        <f t="shared" si="5"/>
        <v>2.0184701437882513</v>
      </c>
      <c r="E9" s="5">
        <f t="shared" si="6"/>
        <v>87.993881104991615</v>
      </c>
      <c r="F9" s="3">
        <f t="shared" si="0"/>
        <v>-1.2237790016769168E-2</v>
      </c>
      <c r="G9" s="3">
        <f t="shared" si="1"/>
        <v>-0.35489591048630587</v>
      </c>
      <c r="H9" s="3">
        <f t="shared" si="2"/>
        <v>2.0185557919811932</v>
      </c>
      <c r="I9" s="3">
        <f t="shared" si="3"/>
        <v>29.458420228804822</v>
      </c>
    </row>
    <row r="10" spans="1:10" x14ac:dyDescent="0.2">
      <c r="A10">
        <v>72</v>
      </c>
      <c r="B10">
        <v>174</v>
      </c>
      <c r="C10" s="5">
        <f t="shared" si="4"/>
        <v>29.458420228804822</v>
      </c>
      <c r="D10" s="5">
        <f t="shared" si="5"/>
        <v>2.0185557919811932</v>
      </c>
      <c r="E10" s="5">
        <f t="shared" si="6"/>
        <v>174.79443725145072</v>
      </c>
      <c r="F10" s="3">
        <f t="shared" si="0"/>
        <v>1.5888745029014331</v>
      </c>
      <c r="G10" s="3">
        <f t="shared" si="1"/>
        <v>114.39896420890318</v>
      </c>
      <c r="H10" s="3">
        <f t="shared" si="2"/>
        <v>1.9909475151050753</v>
      </c>
      <c r="I10" s="3">
        <f t="shared" si="3"/>
        <v>29.435920913376105</v>
      </c>
    </row>
    <row r="11" spans="1:10" x14ac:dyDescent="0.2">
      <c r="A11">
        <v>62</v>
      </c>
      <c r="B11">
        <v>154</v>
      </c>
      <c r="C11" s="5">
        <f t="shared" si="4"/>
        <v>29.435920913376105</v>
      </c>
      <c r="D11" s="5">
        <f t="shared" si="5"/>
        <v>1.9909475151050753</v>
      </c>
      <c r="E11" s="5">
        <f t="shared" si="6"/>
        <v>152.87466684989076</v>
      </c>
      <c r="F11" s="3">
        <f t="shared" si="0"/>
        <v>-2.2506663002184837</v>
      </c>
      <c r="G11" s="3">
        <f t="shared" si="1"/>
        <v>-139.54131061354599</v>
      </c>
      <c r="H11" s="3">
        <f t="shared" si="2"/>
        <v>2.0246234768213034</v>
      </c>
      <c r="I11" s="3">
        <f t="shared" si="3"/>
        <v>29.467791555721316</v>
      </c>
    </row>
    <row r="12" spans="1:10" x14ac:dyDescent="0.2">
      <c r="A12">
        <v>84</v>
      </c>
      <c r="B12">
        <v>198</v>
      </c>
      <c r="C12" s="5">
        <f t="shared" si="4"/>
        <v>29.467791555721316</v>
      </c>
      <c r="D12" s="5">
        <f t="shared" si="5"/>
        <v>2.0246234768213034</v>
      </c>
      <c r="E12" s="5">
        <f t="shared" si="6"/>
        <v>199.53616360871078</v>
      </c>
      <c r="F12" s="3">
        <f t="shared" si="0"/>
        <v>3.0723272174215595</v>
      </c>
      <c r="G12" s="3">
        <f t="shared" si="1"/>
        <v>258.07548626341099</v>
      </c>
      <c r="H12" s="3">
        <f t="shared" si="2"/>
        <v>1.9623412741023341</v>
      </c>
      <c r="I12" s="3">
        <f t="shared" si="3"/>
        <v>29.42428575394857</v>
      </c>
    </row>
    <row r="13" spans="1:10" x14ac:dyDescent="0.2">
      <c r="A13">
        <v>15</v>
      </c>
      <c r="B13">
        <v>60</v>
      </c>
      <c r="C13" s="5">
        <f t="shared" si="4"/>
        <v>29.42428575394857</v>
      </c>
      <c r="D13" s="5">
        <f t="shared" si="5"/>
        <v>1.9623412741023341</v>
      </c>
      <c r="E13" s="5">
        <f t="shared" si="6"/>
        <v>58.859404865483583</v>
      </c>
      <c r="F13" s="3">
        <f t="shared" si="0"/>
        <v>-2.2811902690328338</v>
      </c>
      <c r="G13" s="3">
        <f t="shared" si="1"/>
        <v>-34.217854035492508</v>
      </c>
      <c r="H13" s="3">
        <f t="shared" si="2"/>
        <v>1.9705991809361176</v>
      </c>
      <c r="I13" s="3">
        <f t="shared" si="3"/>
        <v>29.456588632069003</v>
      </c>
    </row>
    <row r="14" spans="1:10" x14ac:dyDescent="0.2">
      <c r="A14">
        <v>42</v>
      </c>
      <c r="B14">
        <v>114</v>
      </c>
      <c r="C14" s="5">
        <f t="shared" si="4"/>
        <v>29.456588632069003</v>
      </c>
      <c r="D14" s="5">
        <f t="shared" si="5"/>
        <v>1.9705991809361176</v>
      </c>
      <c r="E14" s="5">
        <f t="shared" si="6"/>
        <v>112.22175423138594</v>
      </c>
      <c r="F14" s="3">
        <f t="shared" si="0"/>
        <v>-3.5564915372281121</v>
      </c>
      <c r="G14" s="3">
        <f t="shared" si="1"/>
        <v>-149.37264456358071</v>
      </c>
      <c r="H14" s="3">
        <f t="shared" si="2"/>
        <v>2.0066477706881947</v>
      </c>
      <c r="I14" s="3">
        <f t="shared" si="3"/>
        <v>29.506950460375478</v>
      </c>
    </row>
    <row r="15" spans="1:10" x14ac:dyDescent="0.2">
      <c r="A15">
        <v>62</v>
      </c>
      <c r="B15">
        <v>154</v>
      </c>
      <c r="C15" s="5">
        <f>I14</f>
        <v>29.506950460375478</v>
      </c>
      <c r="D15" s="5">
        <f>H14</f>
        <v>2.0066477706881947</v>
      </c>
      <c r="E15" s="5">
        <f t="shared" si="6"/>
        <v>153.91911224304354</v>
      </c>
      <c r="F15" s="3">
        <f t="shared" si="0"/>
        <v>-0.16177551391291445</v>
      </c>
      <c r="G15" s="3">
        <f t="shared" si="1"/>
        <v>-10.030081862600696</v>
      </c>
      <c r="H15" s="3">
        <f t="shared" si="2"/>
        <v>2.0090683632090074</v>
      </c>
      <c r="I15" s="3">
        <f t="shared" si="3"/>
        <v>29.509241288448759</v>
      </c>
    </row>
    <row r="16" spans="1:10" x14ac:dyDescent="0.2">
      <c r="A16">
        <v>47</v>
      </c>
      <c r="B16">
        <v>124</v>
      </c>
      <c r="C16" s="5">
        <f t="shared" si="4"/>
        <v>29.509241288448759</v>
      </c>
      <c r="D16" s="5">
        <f t="shared" si="5"/>
        <v>2.0090683632090074</v>
      </c>
      <c r="E16" s="5">
        <f t="shared" si="6"/>
        <v>123.93545435927211</v>
      </c>
      <c r="F16" s="3">
        <f t="shared" si="0"/>
        <v>-0.12909128145577142</v>
      </c>
      <c r="G16" s="3">
        <f t="shared" si="1"/>
        <v>-6.0672902284212569</v>
      </c>
      <c r="H16" s="3">
        <f t="shared" si="2"/>
        <v>2.0105326022401244</v>
      </c>
      <c r="I16" s="3">
        <f t="shared" si="3"/>
        <v>29.511069290254607</v>
      </c>
    </row>
    <row r="17" spans="1:9" x14ac:dyDescent="0.2">
      <c r="A17">
        <v>35</v>
      </c>
      <c r="B17">
        <v>100</v>
      </c>
      <c r="C17" s="5">
        <f t="shared" si="4"/>
        <v>29.511069290254607</v>
      </c>
      <c r="D17" s="5">
        <f t="shared" si="5"/>
        <v>2.0105326022401244</v>
      </c>
      <c r="E17" s="5">
        <f t="shared" si="6"/>
        <v>99.879710368658962</v>
      </c>
      <c r="F17" s="3">
        <f t="shared" si="0"/>
        <v>-0.24057926268207552</v>
      </c>
      <c r="G17" s="3">
        <f t="shared" si="1"/>
        <v>-8.4202741938726433</v>
      </c>
      <c r="H17" s="3">
        <f t="shared" si="2"/>
        <v>2.0125646946014921</v>
      </c>
      <c r="I17" s="3">
        <f t="shared" si="3"/>
        <v>29.514476021690481</v>
      </c>
    </row>
    <row r="18" spans="1:9" x14ac:dyDescent="0.2">
      <c r="A18">
        <v>9</v>
      </c>
      <c r="B18">
        <v>48</v>
      </c>
      <c r="C18" s="5">
        <f t="shared" si="4"/>
        <v>29.514476021690481</v>
      </c>
      <c r="D18" s="5">
        <f t="shared" si="5"/>
        <v>2.0125646946014921</v>
      </c>
      <c r="E18" s="5">
        <f t="shared" si="6"/>
        <v>47.627558273103915</v>
      </c>
      <c r="F18" s="3">
        <f t="shared" si="0"/>
        <v>-0.7448834537921698</v>
      </c>
      <c r="G18" s="3">
        <f t="shared" si="1"/>
        <v>-6.7039510841295282</v>
      </c>
      <c r="H18" s="3">
        <f t="shared" si="2"/>
        <v>2.0141825810830221</v>
      </c>
      <c r="I18" s="3">
        <f t="shared" si="3"/>
        <v>29.525023971043243</v>
      </c>
    </row>
    <row r="19" spans="1:9" x14ac:dyDescent="0.2">
      <c r="A19">
        <v>38</v>
      </c>
      <c r="B19">
        <v>106</v>
      </c>
      <c r="C19" s="5">
        <f t="shared" si="4"/>
        <v>29.525023971043243</v>
      </c>
      <c r="D19" s="5">
        <f t="shared" si="5"/>
        <v>2.0141825810830221</v>
      </c>
      <c r="E19" s="5">
        <f t="shared" si="6"/>
        <v>106.06396205219808</v>
      </c>
      <c r="F19" s="3">
        <f t="shared" si="0"/>
        <v>0.12792410439615765</v>
      </c>
      <c r="G19" s="3">
        <f t="shared" si="1"/>
        <v>4.8611159670539905</v>
      </c>
      <c r="H19" s="3">
        <f t="shared" si="2"/>
        <v>2.0130094320385932</v>
      </c>
      <c r="I19" s="3">
        <f t="shared" si="3"/>
        <v>29.523212497090775</v>
      </c>
    </row>
    <row r="20" spans="1:9" x14ac:dyDescent="0.2">
      <c r="A20">
        <v>44</v>
      </c>
      <c r="B20">
        <v>118</v>
      </c>
      <c r="C20" s="5">
        <f t="shared" si="4"/>
        <v>29.523212497090775</v>
      </c>
      <c r="D20" s="5">
        <f t="shared" si="5"/>
        <v>2.0130094320385932</v>
      </c>
      <c r="E20" s="5">
        <f t="shared" si="6"/>
        <v>118.09562750678887</v>
      </c>
      <c r="F20" s="3">
        <f t="shared" si="0"/>
        <v>0.1912550135777451</v>
      </c>
      <c r="G20" s="3">
        <f t="shared" si="1"/>
        <v>8.4152205974207845</v>
      </c>
      <c r="H20" s="3">
        <f t="shared" si="2"/>
        <v>2.0109785592782163</v>
      </c>
      <c r="I20" s="3">
        <f t="shared" si="3"/>
        <v>29.520504223485808</v>
      </c>
    </row>
    <row r="21" spans="1:9" x14ac:dyDescent="0.2">
      <c r="A21">
        <v>99</v>
      </c>
      <c r="B21">
        <v>228</v>
      </c>
      <c r="C21" s="5">
        <f t="shared" si="4"/>
        <v>29.520504223485808</v>
      </c>
      <c r="D21" s="5">
        <f t="shared" si="5"/>
        <v>2.0109785592782163</v>
      </c>
      <c r="E21" s="5">
        <f t="shared" si="6"/>
        <v>228.60738159202921</v>
      </c>
      <c r="F21" s="3">
        <f t="shared" si="0"/>
        <v>1.2147631840584268</v>
      </c>
      <c r="G21" s="3">
        <f t="shared" si="1"/>
        <v>120.26155522178425</v>
      </c>
      <c r="H21" s="3">
        <f t="shared" si="2"/>
        <v>1.9819554441033922</v>
      </c>
      <c r="I21" s="3">
        <f t="shared" si="3"/>
        <v>29.503302525051215</v>
      </c>
    </row>
    <row r="22" spans="1:9" x14ac:dyDescent="0.2">
      <c r="A22">
        <v>13</v>
      </c>
      <c r="B22">
        <v>56</v>
      </c>
      <c r="C22" s="5">
        <f t="shared" si="4"/>
        <v>29.503302525051215</v>
      </c>
      <c r="D22" s="5">
        <f t="shared" si="5"/>
        <v>1.9819554441033922</v>
      </c>
      <c r="E22" s="5">
        <f t="shared" si="6"/>
        <v>55.268723298395315</v>
      </c>
      <c r="F22" s="3">
        <f t="shared" si="0"/>
        <v>-1.4625534032093697</v>
      </c>
      <c r="G22" s="3">
        <f t="shared" si="1"/>
        <v>-19.013194241721806</v>
      </c>
      <c r="H22" s="3">
        <f t="shared" si="2"/>
        <v>1.9865439605690336</v>
      </c>
      <c r="I22" s="3">
        <f t="shared" si="3"/>
        <v>29.524013065934124</v>
      </c>
    </row>
    <row r="23" spans="1:9" x14ac:dyDescent="0.2">
      <c r="A23">
        <v>21</v>
      </c>
      <c r="B23">
        <v>72</v>
      </c>
      <c r="C23" s="5">
        <f t="shared" si="4"/>
        <v>29.524013065934124</v>
      </c>
      <c r="D23" s="5">
        <f t="shared" si="5"/>
        <v>1.9865439605690336</v>
      </c>
      <c r="E23" s="5">
        <f t="shared" si="6"/>
        <v>71.241436237883832</v>
      </c>
      <c r="F23" s="3">
        <f t="shared" si="0"/>
        <v>-1.5171275242323361</v>
      </c>
      <c r="G23" s="3">
        <f t="shared" si="1"/>
        <v>-31.859678008879058</v>
      </c>
      <c r="H23" s="3">
        <f t="shared" si="2"/>
        <v>1.9942327610554338</v>
      </c>
      <c r="I23" s="3">
        <f t="shared" si="3"/>
        <v>29.545496405650987</v>
      </c>
    </row>
    <row r="24" spans="1:9" x14ac:dyDescent="0.2">
      <c r="A24">
        <v>28</v>
      </c>
      <c r="B24">
        <v>86</v>
      </c>
      <c r="C24" s="5">
        <f t="shared" si="4"/>
        <v>29.545496405650987</v>
      </c>
      <c r="D24" s="5">
        <f t="shared" si="5"/>
        <v>1.9942327610554338</v>
      </c>
      <c r="E24" s="5">
        <f t="shared" si="6"/>
        <v>85.384013715203139</v>
      </c>
      <c r="F24" s="3">
        <f t="shared" si="0"/>
        <v>-1.2319725695937223</v>
      </c>
      <c r="G24" s="3">
        <f t="shared" si="1"/>
        <v>-34.495231948624223</v>
      </c>
      <c r="H24" s="3">
        <f t="shared" si="2"/>
        <v>2.0025576084098593</v>
      </c>
      <c r="I24" s="3">
        <f t="shared" si="3"/>
        <v>29.562941798217988</v>
      </c>
    </row>
    <row r="25" spans="1:9" x14ac:dyDescent="0.2">
      <c r="A25">
        <v>20</v>
      </c>
      <c r="B25">
        <v>70</v>
      </c>
      <c r="C25" s="5">
        <f t="shared" si="4"/>
        <v>29.562941798217988</v>
      </c>
      <c r="D25" s="5">
        <f t="shared" si="5"/>
        <v>2.0025576084098593</v>
      </c>
      <c r="E25" s="5">
        <f t="shared" si="6"/>
        <v>69.614093966415169</v>
      </c>
      <c r="F25" s="3">
        <f t="shared" si="0"/>
        <v>-0.77181206716966244</v>
      </c>
      <c r="G25" s="3">
        <f t="shared" si="1"/>
        <v>-15.436241343393249</v>
      </c>
      <c r="H25" s="3">
        <f t="shared" si="2"/>
        <v>2.0062828871121798</v>
      </c>
      <c r="I25" s="3">
        <f t="shared" si="3"/>
        <v>29.573871071183998</v>
      </c>
    </row>
    <row r="26" spans="1:9" x14ac:dyDescent="0.2">
      <c r="A26">
        <v>8</v>
      </c>
      <c r="B26">
        <v>46</v>
      </c>
      <c r="C26" s="5">
        <f t="shared" si="4"/>
        <v>29.573871071183998</v>
      </c>
      <c r="D26" s="5">
        <f t="shared" si="5"/>
        <v>2.0062828871121798</v>
      </c>
      <c r="E26" s="5">
        <f t="shared" si="6"/>
        <v>45.62413416808144</v>
      </c>
      <c r="F26" s="3">
        <f t="shared" si="0"/>
        <v>-0.75173166383711987</v>
      </c>
      <c r="G26" s="3">
        <f t="shared" si="1"/>
        <v>-6.0138533106969589</v>
      </c>
      <c r="H26" s="3">
        <f t="shared" si="2"/>
        <v>2.0077342300368493</v>
      </c>
      <c r="I26" s="3">
        <f t="shared" si="3"/>
        <v>29.584515994865221</v>
      </c>
    </row>
    <row r="27" spans="1:9" x14ac:dyDescent="0.2">
      <c r="A27">
        <v>64</v>
      </c>
      <c r="B27">
        <v>158</v>
      </c>
      <c r="C27" s="5">
        <f t="shared" si="4"/>
        <v>29.584515994865221</v>
      </c>
      <c r="D27" s="5">
        <f t="shared" si="5"/>
        <v>2.0077342300368493</v>
      </c>
      <c r="E27" s="5">
        <f t="shared" si="6"/>
        <v>158.07950671722358</v>
      </c>
      <c r="F27" s="3">
        <f t="shared" si="0"/>
        <v>0.15901343444716076</v>
      </c>
      <c r="G27" s="3">
        <f t="shared" si="1"/>
        <v>10.176859804618289</v>
      </c>
      <c r="H27" s="3">
        <f t="shared" si="2"/>
        <v>2.0052782151143518</v>
      </c>
      <c r="I27" s="3">
        <f t="shared" si="3"/>
        <v>29.582264279319091</v>
      </c>
    </row>
    <row r="28" spans="1:9" x14ac:dyDescent="0.2">
      <c r="A28">
        <v>99</v>
      </c>
      <c r="B28">
        <v>228</v>
      </c>
      <c r="C28" s="5">
        <f t="shared" si="4"/>
        <v>29.582264279319091</v>
      </c>
      <c r="D28" s="5">
        <f t="shared" si="5"/>
        <v>2.0052782151143518</v>
      </c>
      <c r="E28" s="5">
        <f t="shared" si="6"/>
        <v>228.10480757563994</v>
      </c>
      <c r="F28" s="3">
        <f t="shared" si="0"/>
        <v>0.20961515127987695</v>
      </c>
      <c r="G28" s="3">
        <f t="shared" si="1"/>
        <v>20.751899976707818</v>
      </c>
      <c r="H28" s="3">
        <f t="shared" si="2"/>
        <v>2.0002700910965832</v>
      </c>
      <c r="I28" s="3">
        <f t="shared" si="3"/>
        <v>29.579296016313627</v>
      </c>
    </row>
    <row r="29" spans="1:9" x14ac:dyDescent="0.2">
      <c r="A29">
        <v>70</v>
      </c>
      <c r="B29">
        <v>170</v>
      </c>
      <c r="C29" s="5">
        <f t="shared" si="4"/>
        <v>29.579296016313627</v>
      </c>
      <c r="D29" s="5">
        <f t="shared" si="5"/>
        <v>2.0002700910965832</v>
      </c>
      <c r="E29" s="5">
        <f t="shared" si="6"/>
        <v>169.59820239307444</v>
      </c>
      <c r="F29" s="3">
        <f t="shared" si="0"/>
        <v>-0.80359521385111066</v>
      </c>
      <c r="G29" s="3">
        <f t="shared" si="1"/>
        <v>-56.251664969577746</v>
      </c>
      <c r="H29" s="3">
        <f t="shared" si="2"/>
        <v>2.013845489719833</v>
      </c>
      <c r="I29" s="3">
        <f t="shared" si="3"/>
        <v>29.590675355689033</v>
      </c>
    </row>
    <row r="30" spans="1:9" x14ac:dyDescent="0.2">
      <c r="A30">
        <v>27</v>
      </c>
      <c r="B30">
        <v>84</v>
      </c>
      <c r="C30" s="5">
        <f t="shared" si="4"/>
        <v>29.590675355689033</v>
      </c>
      <c r="D30" s="5">
        <f t="shared" si="5"/>
        <v>2.013845489719833</v>
      </c>
      <c r="E30" s="5">
        <f t="shared" si="6"/>
        <v>83.964503578124521</v>
      </c>
      <c r="F30" s="3">
        <f t="shared" si="0"/>
        <v>-7.0992843750957491E-2</v>
      </c>
      <c r="G30" s="3">
        <f t="shared" si="1"/>
        <v>-1.9168067812758522</v>
      </c>
      <c r="H30" s="3">
        <f t="shared" si="2"/>
        <v>2.0143080789810335</v>
      </c>
      <c r="I30" s="3">
        <f t="shared" si="3"/>
        <v>29.591680652445838</v>
      </c>
    </row>
    <row r="31" spans="1:9" x14ac:dyDescent="0.2">
      <c r="A31">
        <v>17</v>
      </c>
      <c r="B31">
        <v>64</v>
      </c>
      <c r="C31" s="5">
        <f t="shared" si="4"/>
        <v>29.591680652445838</v>
      </c>
      <c r="D31" s="5">
        <f t="shared" si="5"/>
        <v>2.0143080789810335</v>
      </c>
      <c r="E31" s="5">
        <f t="shared" si="6"/>
        <v>63.834917995123405</v>
      </c>
      <c r="F31" s="3">
        <f t="shared" si="0"/>
        <v>-0.33016400975319016</v>
      </c>
      <c r="G31" s="3">
        <f t="shared" si="1"/>
        <v>-5.6127881658042327</v>
      </c>
      <c r="H31" s="3">
        <f t="shared" si="2"/>
        <v>2.0156626315401418</v>
      </c>
      <c r="I31" s="3">
        <f t="shared" si="3"/>
        <v>29.596355951964512</v>
      </c>
    </row>
    <row r="32" spans="1:9" x14ac:dyDescent="0.2">
      <c r="A32">
        <v>8</v>
      </c>
      <c r="B32">
        <v>46</v>
      </c>
      <c r="C32" s="5">
        <f t="shared" si="4"/>
        <v>29.596355951964512</v>
      </c>
      <c r="D32" s="5">
        <f t="shared" si="5"/>
        <v>2.0156626315401418</v>
      </c>
      <c r="E32" s="5">
        <f t="shared" si="6"/>
        <v>45.721657004285646</v>
      </c>
      <c r="F32" s="3">
        <f t="shared" si="0"/>
        <v>-0.55668599142870789</v>
      </c>
      <c r="G32" s="3">
        <f t="shared" si="1"/>
        <v>-4.4534879314296631</v>
      </c>
      <c r="H32" s="3">
        <f t="shared" si="2"/>
        <v>2.0167374063750856</v>
      </c>
      <c r="I32" s="3">
        <f t="shared" si="3"/>
        <v>29.604238924277951</v>
      </c>
    </row>
    <row r="33" spans="6:8" x14ac:dyDescent="0.2">
      <c r="F33" s="3">
        <f>SQRT(SUMSQ(F4:F32))/COUNT(F4:F32)</f>
        <v>0.29214010037172083</v>
      </c>
      <c r="G33" s="3">
        <f>SQRT(SUMSQ(G4:G32))/COUNT(G4:G32)</f>
        <v>16.630193282037062</v>
      </c>
      <c r="H33" s="3">
        <f>SUMPRODUCT(histgrad,F2:G2)</f>
        <v>8.1502795969492121E-3</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m_ann" enableFormatConditionsCalculation="0"/>
  <dimension ref="A1:O34"/>
  <sheetViews>
    <sheetView zoomScale="120" zoomScaleNormal="130" zoomScalePageLayoutView="130" workbookViewId="0">
      <pane xSplit="3" ySplit="3" topLeftCell="D4" activePane="bottomRight" state="frozen"/>
      <selection pane="topRight" activeCell="D1" sqref="D1"/>
      <selection pane="bottomLeft" activeCell="A4" sqref="A4"/>
      <selection pane="bottomRight" activeCell="J5" sqref="J5"/>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29.990939773126538</v>
      </c>
      <c r="D1" s="5" t="s">
        <v>14</v>
      </c>
      <c r="I1" t="s">
        <v>24</v>
      </c>
      <c r="J1">
        <v>0.9</v>
      </c>
      <c r="K1">
        <f>1-J1</f>
        <v>9.9999999999999978E-2</v>
      </c>
      <c r="L1">
        <v>0.95</v>
      </c>
      <c r="M1">
        <f>1-L1</f>
        <v>5.0000000000000044E-2</v>
      </c>
    </row>
    <row r="2" spans="1:15" x14ac:dyDescent="0.2">
      <c r="B2" t="s">
        <v>22</v>
      </c>
      <c r="C2" s="5">
        <v>2.0041632844175137</v>
      </c>
      <c r="D2">
        <v>3.90625E-3</v>
      </c>
      <c r="F2" s="9"/>
      <c r="G2" s="9"/>
    </row>
    <row r="3" spans="1:15" s="2" customFormat="1" x14ac:dyDescent="0.2">
      <c r="A3" s="2" t="s">
        <v>15</v>
      </c>
      <c r="B3" s="2" t="s">
        <v>16</v>
      </c>
      <c r="C3" s="6" t="s">
        <v>21</v>
      </c>
      <c r="D3" s="6" t="s">
        <v>22</v>
      </c>
      <c r="E3" s="6" t="s">
        <v>18</v>
      </c>
      <c r="F3" s="8" t="s">
        <v>6</v>
      </c>
      <c r="G3" s="8" t="s">
        <v>9</v>
      </c>
      <c r="H3" s="2" t="s">
        <v>13</v>
      </c>
      <c r="I3" s="2" t="s">
        <v>12</v>
      </c>
      <c r="J3">
        <f>J33</f>
        <v>-4.8441943141925917E-2</v>
      </c>
      <c r="K3">
        <f>K33</f>
        <v>-4.0642025509844446</v>
      </c>
      <c r="L3">
        <f>L33</f>
        <v>2.527589588662521E-2</v>
      </c>
      <c r="M3">
        <f>M33</f>
        <v>161.89615404770484</v>
      </c>
      <c r="N3" s="4">
        <v>10.326280808548518</v>
      </c>
      <c r="O3" s="4"/>
    </row>
    <row r="4" spans="1:15" x14ac:dyDescent="0.2">
      <c r="A4">
        <v>14</v>
      </c>
      <c r="B4">
        <v>58</v>
      </c>
      <c r="C4" s="3">
        <f>C1</f>
        <v>29.990939773126538</v>
      </c>
      <c r="D4" s="3">
        <f>C2</f>
        <v>2.0041632844175137</v>
      </c>
      <c r="E4" s="3">
        <f>C4+D4*A4</f>
        <v>58.049225754971729</v>
      </c>
      <c r="F4" s="7">
        <f t="shared" ref="F4:F32" si="0">2*(D4*A4+C4-B4)</f>
        <v>9.8451509943458859E-2</v>
      </c>
      <c r="G4" s="7">
        <f t="shared" ref="G4:G32" si="1">F4*A4</f>
        <v>1.378321139208424</v>
      </c>
      <c r="H4" s="3">
        <f>C4-J4*$D$2/SQRT(L4)</f>
        <v>29.991782162981227</v>
      </c>
      <c r="I4" s="3">
        <f>D4-K4*$D$2/SQRT(M4)</f>
        <v>2.0052716484223598</v>
      </c>
      <c r="J4">
        <f>J3*$J$1+$K$1*F4</f>
        <v>-3.3752597833387438E-2</v>
      </c>
      <c r="K4">
        <f>K3*$J$1+$K$1*G4</f>
        <v>-3.5199501819651577</v>
      </c>
      <c r="L4">
        <f t="shared" ref="L4:M19" si="2">L3*$L$1+$M$1*F4^2</f>
        <v>2.4496736082801299E-2</v>
      </c>
      <c r="M4">
        <f t="shared" si="2"/>
        <v>153.89633480345904</v>
      </c>
    </row>
    <row r="5" spans="1:15" x14ac:dyDescent="0.2">
      <c r="A5">
        <v>86</v>
      </c>
      <c r="B5">
        <v>202</v>
      </c>
      <c r="C5" s="3">
        <f>H4</f>
        <v>29.991782162981227</v>
      </c>
      <c r="D5" s="3">
        <f>I4</f>
        <v>2.0052716484223598</v>
      </c>
      <c r="E5" s="3">
        <f>C5+D5*A5</f>
        <v>202.44514392730417</v>
      </c>
      <c r="F5" s="7">
        <f t="shared" si="0"/>
        <v>0.8902878546083457</v>
      </c>
      <c r="G5" s="7">
        <f t="shared" si="1"/>
        <v>76.56475549631773</v>
      </c>
      <c r="H5" s="3">
        <f>C5-J5*$D$2/SQRT(L5)</f>
        <v>29.992255287786474</v>
      </c>
      <c r="I5" s="3">
        <f t="shared" ref="H5:I32" si="3">D5-K5*$D$2/SQRT(M5)</f>
        <v>2.0044351254225292</v>
      </c>
      <c r="J5">
        <f>J4*$J$1+$K$1*Intro!F5</f>
        <v>-3.0377338050048695E-2</v>
      </c>
      <c r="K5">
        <f t="shared" ref="J5:K20" si="4">K4*$J$1+$K$1*G5</f>
        <v>4.4885203858631293</v>
      </c>
      <c r="L5">
        <f t="shared" si="2"/>
        <v>6.290252248181781E-2</v>
      </c>
      <c r="M5">
        <f t="shared" si="2"/>
        <v>439.30960727383217</v>
      </c>
    </row>
    <row r="6" spans="1:15" x14ac:dyDescent="0.2">
      <c r="A6">
        <v>28</v>
      </c>
      <c r="B6">
        <v>86</v>
      </c>
      <c r="C6" s="3">
        <f>H5</f>
        <v>29.992255287786474</v>
      </c>
      <c r="D6" s="3">
        <f>I5</f>
        <v>2.0044351254225292</v>
      </c>
      <c r="E6" s="3">
        <f>C6+D6*A6</f>
        <v>86.116438799617299</v>
      </c>
      <c r="F6" s="7">
        <f>2*(D6*A6+C6-B6)</f>
        <v>0.23287759923459816</v>
      </c>
      <c r="G6" s="7">
        <f>F6*A6</f>
        <v>6.5205727785687486</v>
      </c>
      <c r="H6" s="3">
        <f>C6-J6*$D$2/SQRT(L6)</f>
        <v>29.992318613563189</v>
      </c>
      <c r="I6" s="3">
        <f t="shared" si="3"/>
        <v>2.0035402920398968</v>
      </c>
      <c r="J6">
        <f t="shared" si="4"/>
        <v>-4.0518443215840153E-3</v>
      </c>
      <c r="K6">
        <f t="shared" si="4"/>
        <v>4.6917256251336914</v>
      </c>
      <c r="L6">
        <f t="shared" si="2"/>
        <v>6.2468995168990425E-2</v>
      </c>
      <c r="M6">
        <f t="shared" si="2"/>
        <v>419.47002037817111</v>
      </c>
    </row>
    <row r="7" spans="1:15" x14ac:dyDescent="0.2">
      <c r="A7">
        <v>51</v>
      </c>
      <c r="B7">
        <v>132</v>
      </c>
      <c r="C7" s="3">
        <f t="shared" ref="C7:D32" si="5">H6</f>
        <v>29.992318613563189</v>
      </c>
      <c r="D7" s="3">
        <f t="shared" si="5"/>
        <v>2.0035402920398968</v>
      </c>
      <c r="E7" s="3">
        <f t="shared" ref="E7:E32" si="6">C7+D7*A7</f>
        <v>132.17287350759793</v>
      </c>
      <c r="F7" s="7">
        <f t="shared" si="0"/>
        <v>0.3457470151958546</v>
      </c>
      <c r="G7" s="7">
        <f t="shared" si="1"/>
        <v>17.633097774988585</v>
      </c>
      <c r="H7" s="3">
        <f t="shared" si="3"/>
        <v>29.991845918855169</v>
      </c>
      <c r="I7" s="3">
        <f t="shared" si="3"/>
        <v>2.0023911752672543</v>
      </c>
      <c r="J7">
        <f t="shared" si="4"/>
        <v>3.0928041630159837E-2</v>
      </c>
      <c r="K7">
        <f t="shared" si="4"/>
        <v>5.9858628401191805</v>
      </c>
      <c r="L7">
        <f t="shared" si="2"/>
        <v>6.532259533638303E-2</v>
      </c>
      <c r="M7">
        <f t="shared" si="2"/>
        <v>414.04282621637793</v>
      </c>
    </row>
    <row r="8" spans="1:15" x14ac:dyDescent="0.2">
      <c r="A8">
        <v>28</v>
      </c>
      <c r="B8">
        <v>86</v>
      </c>
      <c r="C8" s="3">
        <f t="shared" si="5"/>
        <v>29.991845918855169</v>
      </c>
      <c r="D8" s="3">
        <f t="shared" si="5"/>
        <v>2.0023911752672543</v>
      </c>
      <c r="E8" s="3">
        <f t="shared" si="6"/>
        <v>86.05879882633829</v>
      </c>
      <c r="F8" s="7">
        <f t="shared" si="0"/>
        <v>0.1175976526765794</v>
      </c>
      <c r="G8" s="7">
        <f t="shared" si="1"/>
        <v>3.2927342749442232</v>
      </c>
      <c r="H8" s="3">
        <f t="shared" si="3"/>
        <v>29.991228470377429</v>
      </c>
      <c r="I8" s="3">
        <f t="shared" si="3"/>
        <v>2.0012660249753647</v>
      </c>
      <c r="J8">
        <f t="shared" si="4"/>
        <v>3.9595002734801793E-2</v>
      </c>
      <c r="K8">
        <f t="shared" si="4"/>
        <v>5.7165499836016842</v>
      </c>
      <c r="L8">
        <f t="shared" si="2"/>
        <v>6.2747925965315948E-2</v>
      </c>
      <c r="M8">
        <f t="shared" si="2"/>
        <v>393.88278985582866</v>
      </c>
    </row>
    <row r="9" spans="1:15" x14ac:dyDescent="0.2">
      <c r="A9">
        <v>29</v>
      </c>
      <c r="B9">
        <v>88</v>
      </c>
      <c r="C9" s="3">
        <f t="shared" si="5"/>
        <v>29.991228470377429</v>
      </c>
      <c r="D9" s="3">
        <f t="shared" si="5"/>
        <v>2.0012660249753647</v>
      </c>
      <c r="E9" s="3">
        <f t="shared" si="6"/>
        <v>88.02794319466301</v>
      </c>
      <c r="F9" s="7">
        <f t="shared" si="0"/>
        <v>5.5886389326019525E-2</v>
      </c>
      <c r="G9" s="7">
        <f t="shared" si="1"/>
        <v>1.6207052904545662</v>
      </c>
      <c r="H9" s="3">
        <f t="shared" si="3"/>
        <v>29.990569778911592</v>
      </c>
      <c r="I9" s="3">
        <f t="shared" si="3"/>
        <v>2.0001945431891333</v>
      </c>
      <c r="J9">
        <f t="shared" si="4"/>
        <v>4.1224141393923566E-2</v>
      </c>
      <c r="K9">
        <f t="shared" si="4"/>
        <v>5.3069655142869721</v>
      </c>
      <c r="L9">
        <f t="shared" si="2"/>
        <v>5.9766694092645116E-2</v>
      </c>
      <c r="M9">
        <f t="shared" si="2"/>
        <v>374.31998464496257</v>
      </c>
    </row>
    <row r="10" spans="1:15" x14ac:dyDescent="0.2">
      <c r="A10">
        <v>72</v>
      </c>
      <c r="B10">
        <v>174</v>
      </c>
      <c r="C10" s="3">
        <f t="shared" si="5"/>
        <v>29.990569778911592</v>
      </c>
      <c r="D10" s="3">
        <f t="shared" si="5"/>
        <v>2.0001945431891333</v>
      </c>
      <c r="E10" s="3">
        <f t="shared" si="6"/>
        <v>174.00457688852919</v>
      </c>
      <c r="F10" s="7">
        <f t="shared" si="0"/>
        <v>9.1537770583727252E-3</v>
      </c>
      <c r="G10" s="7">
        <f t="shared" si="1"/>
        <v>0.65907194820283621</v>
      </c>
      <c r="H10" s="3">
        <f t="shared" si="3"/>
        <v>29.989946572899314</v>
      </c>
      <c r="I10" s="3">
        <f t="shared" si="3"/>
        <v>1.9991915359955668</v>
      </c>
      <c r="J10">
        <f t="shared" si="4"/>
        <v>3.8017104960368482E-2</v>
      </c>
      <c r="K10">
        <f t="shared" si="4"/>
        <v>4.8421761576785585</v>
      </c>
      <c r="L10">
        <f t="shared" si="2"/>
        <v>5.6782548969734579E-2</v>
      </c>
      <c r="M10">
        <f t="shared" si="2"/>
        <v>355.62570420435986</v>
      </c>
    </row>
    <row r="11" spans="1:15" x14ac:dyDescent="0.2">
      <c r="A11">
        <v>62</v>
      </c>
      <c r="B11">
        <v>154</v>
      </c>
      <c r="C11" s="3">
        <f t="shared" si="5"/>
        <v>29.989946572899314</v>
      </c>
      <c r="D11" s="3">
        <f t="shared" si="5"/>
        <v>1.9991915359955668</v>
      </c>
      <c r="E11" s="3">
        <f t="shared" si="6"/>
        <v>153.93982180462444</v>
      </c>
      <c r="F11" s="7">
        <f t="shared" si="0"/>
        <v>-0.12035639075111249</v>
      </c>
      <c r="G11" s="7">
        <f t="shared" si="1"/>
        <v>-7.4620962265689741</v>
      </c>
      <c r="H11" s="3">
        <f t="shared" si="3"/>
        <v>29.989576019017193</v>
      </c>
      <c r="I11" s="3">
        <f t="shared" si="3"/>
        <v>1.9984271071706123</v>
      </c>
      <c r="J11">
        <f t="shared" si="4"/>
        <v>2.2179755389220387E-2</v>
      </c>
      <c r="K11">
        <f t="shared" si="4"/>
        <v>3.6117489192538059</v>
      </c>
      <c r="L11">
        <f t="shared" si="2"/>
        <v>5.4667704560979573E-2</v>
      </c>
      <c r="M11">
        <f t="shared" si="2"/>
        <v>340.62856299887062</v>
      </c>
    </row>
    <row r="12" spans="1:15" x14ac:dyDescent="0.2">
      <c r="A12">
        <v>84</v>
      </c>
      <c r="B12">
        <v>198</v>
      </c>
      <c r="C12" s="3">
        <f t="shared" si="5"/>
        <v>29.989576019017193</v>
      </c>
      <c r="D12" s="3">
        <f t="shared" si="5"/>
        <v>1.9984271071706123</v>
      </c>
      <c r="E12" s="3">
        <f t="shared" si="6"/>
        <v>197.85745302134862</v>
      </c>
      <c r="F12" s="7">
        <f t="shared" si="0"/>
        <v>-0.2850939573027631</v>
      </c>
      <c r="G12" s="7">
        <f t="shared" si="1"/>
        <v>-23.947892413432101</v>
      </c>
      <c r="H12" s="3">
        <f t="shared" si="3"/>
        <v>29.989717116028224</v>
      </c>
      <c r="I12" s="3">
        <f t="shared" si="3"/>
        <v>1.9982489983603595</v>
      </c>
      <c r="J12">
        <f t="shared" si="4"/>
        <v>-8.5476158799779565E-3</v>
      </c>
      <c r="K12">
        <f t="shared" si="4"/>
        <v>0.8557847859852159</v>
      </c>
      <c r="L12">
        <f t="shared" si="2"/>
        <v>5.5998247557458081E-2</v>
      </c>
      <c r="M12">
        <f t="shared" si="2"/>
        <v>352.27221240119303</v>
      </c>
    </row>
    <row r="13" spans="1:15" x14ac:dyDescent="0.2">
      <c r="A13">
        <v>15</v>
      </c>
      <c r="B13">
        <v>60</v>
      </c>
      <c r="C13" s="3">
        <f t="shared" si="5"/>
        <v>29.989717116028224</v>
      </c>
      <c r="D13" s="3">
        <f t="shared" si="5"/>
        <v>1.9982489983603595</v>
      </c>
      <c r="E13" s="3">
        <f t="shared" si="6"/>
        <v>59.963452091433616</v>
      </c>
      <c r="F13" s="7">
        <f t="shared" si="0"/>
        <v>-7.3095817132767138E-2</v>
      </c>
      <c r="G13" s="7">
        <f t="shared" si="1"/>
        <v>-1.0964372569915071</v>
      </c>
      <c r="H13" s="3">
        <f t="shared" si="3"/>
        <v>29.989970561806697</v>
      </c>
      <c r="I13" s="3">
        <f t="shared" si="3"/>
        <v>1.9981079610527384</v>
      </c>
      <c r="J13">
        <f t="shared" si="4"/>
        <v>-1.5002436005256872E-2</v>
      </c>
      <c r="K13">
        <f t="shared" si="4"/>
        <v>0.66056258168754367</v>
      </c>
      <c r="L13">
        <f t="shared" si="2"/>
        <v>5.346548510370052E-2</v>
      </c>
      <c r="M13">
        <f t="shared" si="2"/>
        <v>334.7187105140593</v>
      </c>
    </row>
    <row r="14" spans="1:15" x14ac:dyDescent="0.2">
      <c r="A14">
        <v>42</v>
      </c>
      <c r="B14">
        <v>114</v>
      </c>
      <c r="C14" s="3">
        <f t="shared" si="5"/>
        <v>29.989970561806697</v>
      </c>
      <c r="D14" s="3">
        <f t="shared" si="5"/>
        <v>1.9981079610527384</v>
      </c>
      <c r="E14" s="3">
        <f t="shared" si="6"/>
        <v>113.91050492602172</v>
      </c>
      <c r="F14" s="7">
        <f t="shared" si="0"/>
        <v>-0.17899014795656853</v>
      </c>
      <c r="G14" s="7">
        <f t="shared" si="1"/>
        <v>-7.5175862141758785</v>
      </c>
      <c r="H14" s="3">
        <f t="shared" si="3"/>
        <v>29.990506438971764</v>
      </c>
      <c r="I14" s="3">
        <f t="shared" si="3"/>
        <v>1.9981422563139677</v>
      </c>
      <c r="J14">
        <f t="shared" si="4"/>
        <v>-3.140120720038804E-2</v>
      </c>
      <c r="K14">
        <f t="shared" si="4"/>
        <v>-0.15725229789879835</v>
      </c>
      <c r="L14">
        <f t="shared" si="2"/>
        <v>5.2394084501791206E-2</v>
      </c>
      <c r="M14">
        <f t="shared" si="2"/>
        <v>320.80848011273469</v>
      </c>
    </row>
    <row r="15" spans="1:15" x14ac:dyDescent="0.2">
      <c r="A15">
        <v>62</v>
      </c>
      <c r="B15">
        <v>154</v>
      </c>
      <c r="C15" s="3">
        <f t="shared" si="5"/>
        <v>29.990506438971764</v>
      </c>
      <c r="D15" s="3">
        <f>I14</f>
        <v>1.9981422563139677</v>
      </c>
      <c r="E15" s="3">
        <f t="shared" si="6"/>
        <v>153.87532633043776</v>
      </c>
      <c r="F15" s="7">
        <f t="shared" si="0"/>
        <v>-0.24934733912448337</v>
      </c>
      <c r="G15" s="7">
        <f t="shared" si="1"/>
        <v>-15.459535025717969</v>
      </c>
      <c r="H15" s="3">
        <f t="shared" si="3"/>
        <v>29.991410045072325</v>
      </c>
      <c r="I15" s="3">
        <f t="shared" si="3"/>
        <v>1.9985126490828387</v>
      </c>
      <c r="J15">
        <f t="shared" si="4"/>
        <v>-5.319582039279757E-2</v>
      </c>
      <c r="K15">
        <f t="shared" si="4"/>
        <v>-1.687480570680715</v>
      </c>
      <c r="L15">
        <f t="shared" si="2"/>
        <v>5.2883085053124647E-2</v>
      </c>
      <c r="M15">
        <f t="shared" si="2"/>
        <v>316.71791726766799</v>
      </c>
    </row>
    <row r="16" spans="1:15" x14ac:dyDescent="0.2">
      <c r="A16">
        <v>47</v>
      </c>
      <c r="B16">
        <v>124</v>
      </c>
      <c r="C16" s="3">
        <f t="shared" si="5"/>
        <v>29.991410045072325</v>
      </c>
      <c r="D16" s="3">
        <f t="shared" si="5"/>
        <v>1.9985126490828387</v>
      </c>
      <c r="E16" s="3">
        <f t="shared" si="6"/>
        <v>123.92150455196574</v>
      </c>
      <c r="F16" s="7">
        <f t="shared" si="0"/>
        <v>-0.15699089606852112</v>
      </c>
      <c r="G16" s="7">
        <f t="shared" si="1"/>
        <v>-7.3785721152204928</v>
      </c>
      <c r="H16" s="3">
        <f t="shared" si="3"/>
        <v>29.992504672528892</v>
      </c>
      <c r="I16" s="3">
        <f t="shared" si="3"/>
        <v>1.9990185421900744</v>
      </c>
      <c r="J16">
        <f t="shared" si="4"/>
        <v>-6.3575327960369923E-2</v>
      </c>
      <c r="K16">
        <f t="shared" si="4"/>
        <v>-2.2565897251346927</v>
      </c>
      <c r="L16">
        <f t="shared" si="2"/>
        <v>5.1471237872888279E-2</v>
      </c>
      <c r="M16">
        <f t="shared" si="2"/>
        <v>303.60418772726001</v>
      </c>
    </row>
    <row r="17" spans="1:13" x14ac:dyDescent="0.2">
      <c r="A17">
        <v>35</v>
      </c>
      <c r="B17">
        <v>100</v>
      </c>
      <c r="C17" s="3">
        <f t="shared" si="5"/>
        <v>29.992504672528892</v>
      </c>
      <c r="D17" s="3">
        <f t="shared" si="5"/>
        <v>1.9990185421900744</v>
      </c>
      <c r="E17" s="3">
        <f t="shared" si="6"/>
        <v>99.958153649181497</v>
      </c>
      <c r="F17" s="7">
        <f t="shared" si="0"/>
        <v>-8.3692701637005484E-2</v>
      </c>
      <c r="G17" s="7">
        <f t="shared" si="1"/>
        <v>-2.929244557295192</v>
      </c>
      <c r="H17" s="3">
        <f t="shared" si="3"/>
        <v>29.993659147117956</v>
      </c>
      <c r="I17" s="3">
        <f t="shared" si="3"/>
        <v>1.9995526521259299</v>
      </c>
      <c r="J17">
        <f t="shared" si="4"/>
        <v>-6.5587065328033475E-2</v>
      </c>
      <c r="K17">
        <f t="shared" si="4"/>
        <v>-2.3238552083507429</v>
      </c>
      <c r="L17">
        <f t="shared" si="2"/>
        <v>4.9247899394608906E-2</v>
      </c>
      <c r="M17">
        <f t="shared" si="2"/>
        <v>288.85300202471916</v>
      </c>
    </row>
    <row r="18" spans="1:13" x14ac:dyDescent="0.2">
      <c r="A18">
        <v>9</v>
      </c>
      <c r="B18">
        <v>48</v>
      </c>
      <c r="C18" s="3">
        <f t="shared" si="5"/>
        <v>29.993659147117956</v>
      </c>
      <c r="D18" s="3">
        <f t="shared" si="5"/>
        <v>1.9995526521259299</v>
      </c>
      <c r="E18" s="3">
        <f t="shared" si="6"/>
        <v>47.989633016251325</v>
      </c>
      <c r="F18" s="7">
        <f t="shared" si="0"/>
        <v>-2.0733967497349681E-2</v>
      </c>
      <c r="G18" s="7">
        <f t="shared" si="1"/>
        <v>-0.18660570747614713</v>
      </c>
      <c r="H18" s="3">
        <f t="shared" si="3"/>
        <v>29.994762357456022</v>
      </c>
      <c r="I18" s="3">
        <f t="shared" si="3"/>
        <v>2.0000502375806035</v>
      </c>
      <c r="J18">
        <f t="shared" si="4"/>
        <v>-6.1101755544965095E-2</v>
      </c>
      <c r="K18">
        <f t="shared" si="4"/>
        <v>-2.1101302582632835</v>
      </c>
      <c r="L18">
        <f t="shared" si="2"/>
        <v>4.6806999295287512E-2</v>
      </c>
      <c r="M18">
        <f t="shared" si="2"/>
        <v>274.4120930079863</v>
      </c>
    </row>
    <row r="19" spans="1:13" x14ac:dyDescent="0.2">
      <c r="A19">
        <v>38</v>
      </c>
      <c r="B19">
        <v>106</v>
      </c>
      <c r="C19" s="3">
        <f t="shared" si="5"/>
        <v>29.994762357456022</v>
      </c>
      <c r="D19" s="3">
        <f t="shared" si="5"/>
        <v>2.0000502375806035</v>
      </c>
      <c r="E19" s="3">
        <f t="shared" si="6"/>
        <v>105.99667138551897</v>
      </c>
      <c r="F19" s="7">
        <f t="shared" si="0"/>
        <v>-6.6572289620694391E-3</v>
      </c>
      <c r="G19" s="7">
        <f t="shared" si="1"/>
        <v>-0.25297470055863869</v>
      </c>
      <c r="H19" s="3">
        <f t="shared" si="3"/>
        <v>29.99579334677934</v>
      </c>
      <c r="I19" s="3">
        <f t="shared" si="3"/>
        <v>2.0005158157515477</v>
      </c>
      <c r="J19">
        <f t="shared" si="4"/>
        <v>-5.565730288667553E-2</v>
      </c>
      <c r="K19">
        <f t="shared" si="4"/>
        <v>-1.9244147024928191</v>
      </c>
      <c r="L19">
        <f t="shared" si="2"/>
        <v>4.4468865265395806E-2</v>
      </c>
      <c r="M19">
        <f t="shared" si="2"/>
        <v>260.69468816754312</v>
      </c>
    </row>
    <row r="20" spans="1:13" x14ac:dyDescent="0.2">
      <c r="A20">
        <v>44</v>
      </c>
      <c r="B20">
        <v>118</v>
      </c>
      <c r="C20" s="3">
        <f t="shared" si="5"/>
        <v>29.99579334677934</v>
      </c>
      <c r="D20" s="3">
        <f t="shared" si="5"/>
        <v>2.0005158157515477</v>
      </c>
      <c r="E20" s="3">
        <f t="shared" si="6"/>
        <v>118.01848923984744</v>
      </c>
      <c r="F20" s="7">
        <f t="shared" si="0"/>
        <v>3.6978479694880662E-2</v>
      </c>
      <c r="G20" s="7">
        <f t="shared" si="1"/>
        <v>1.6270531065747491</v>
      </c>
      <c r="H20" s="3">
        <f t="shared" si="3"/>
        <v>29.996674351630034</v>
      </c>
      <c r="I20" s="3">
        <f t="shared" si="3"/>
        <v>2.0009052312318709</v>
      </c>
      <c r="J20">
        <f t="shared" si="4"/>
        <v>-4.6393724628519914E-2</v>
      </c>
      <c r="K20">
        <f t="shared" si="4"/>
        <v>-1.5692679215860623</v>
      </c>
      <c r="L20">
        <f t="shared" ref="L20:M32" si="7">L19*$L$1+$M$1*F20^2</f>
        <v>4.2313792400153247E-2</v>
      </c>
      <c r="M20">
        <f t="shared" si="7"/>
        <v>247.79231884974666</v>
      </c>
    </row>
    <row r="21" spans="1:13" x14ac:dyDescent="0.2">
      <c r="A21">
        <v>99</v>
      </c>
      <c r="B21">
        <v>228</v>
      </c>
      <c r="C21" s="3">
        <f t="shared" si="5"/>
        <v>29.996674351630034</v>
      </c>
      <c r="D21" s="3">
        <f t="shared" si="5"/>
        <v>2.0009052312318709</v>
      </c>
      <c r="E21" s="3">
        <f t="shared" si="6"/>
        <v>228.08629224358526</v>
      </c>
      <c r="F21" s="7">
        <f t="shared" si="0"/>
        <v>0.17258448717052488</v>
      </c>
      <c r="G21" s="7">
        <f t="shared" si="1"/>
        <v>17.085864229881963</v>
      </c>
      <c r="H21" s="3">
        <f t="shared" si="3"/>
        <v>29.997143004447146</v>
      </c>
      <c r="I21" s="3">
        <f t="shared" si="3"/>
        <v>2.0008320428200688</v>
      </c>
      <c r="J21">
        <f t="shared" ref="J21:K32" si="8">J20*$J$1+$K$1*F21</f>
        <v>-2.4495903448615443E-2</v>
      </c>
      <c r="K21">
        <f t="shared" si="8"/>
        <v>0.29624529356073981</v>
      </c>
      <c r="L21">
        <f t="shared" si="7"/>
        <v>4.1687373040741237E-2</v>
      </c>
      <c r="M21">
        <f t="shared" si="7"/>
        <v>249.99904073135733</v>
      </c>
    </row>
    <row r="22" spans="1:13" x14ac:dyDescent="0.2">
      <c r="A22">
        <v>13</v>
      </c>
      <c r="B22">
        <v>56</v>
      </c>
      <c r="C22" s="3">
        <f t="shared" si="5"/>
        <v>29.997143004447146</v>
      </c>
      <c r="D22" s="3">
        <f t="shared" si="5"/>
        <v>2.0008320428200688</v>
      </c>
      <c r="E22" s="3">
        <f t="shared" si="6"/>
        <v>56.007959561108038</v>
      </c>
      <c r="F22" s="7">
        <f t="shared" si="0"/>
        <v>1.5919122216075721E-2</v>
      </c>
      <c r="G22" s="7">
        <f t="shared" si="1"/>
        <v>0.20694858880898437</v>
      </c>
      <c r="H22" s="3">
        <f t="shared" si="3"/>
        <v>29.997544437627624</v>
      </c>
      <c r="I22" s="3">
        <f t="shared" si="3"/>
        <v>2.0007592168388335</v>
      </c>
      <c r="J22">
        <f t="shared" si="8"/>
        <v>-2.0454400882146326E-2</v>
      </c>
      <c r="K22">
        <f t="shared" si="8"/>
        <v>0.2873156230855643</v>
      </c>
      <c r="L22">
        <f t="shared" si="7"/>
        <v>3.9615675311310689E-2</v>
      </c>
      <c r="M22">
        <f t="shared" si="7"/>
        <v>237.50123008070995</v>
      </c>
    </row>
    <row r="23" spans="1:13" x14ac:dyDescent="0.2">
      <c r="A23">
        <v>21</v>
      </c>
      <c r="B23">
        <v>72</v>
      </c>
      <c r="C23" s="3">
        <f t="shared" si="5"/>
        <v>29.997544437627624</v>
      </c>
      <c r="D23" s="3">
        <f t="shared" si="5"/>
        <v>2.0007592168388335</v>
      </c>
      <c r="E23" s="3">
        <f t="shared" si="6"/>
        <v>72.013487991243124</v>
      </c>
      <c r="F23" s="7">
        <f t="shared" si="0"/>
        <v>2.6975982486248995E-2</v>
      </c>
      <c r="G23" s="7">
        <f t="shared" si="1"/>
        <v>0.56649563221122889</v>
      </c>
      <c r="H23" s="3">
        <f t="shared" si="3"/>
        <v>29.997860642614782</v>
      </c>
      <c r="I23" s="3">
        <f t="shared" si="3"/>
        <v>2.0006772416562133</v>
      </c>
      <c r="J23">
        <f t="shared" si="8"/>
        <v>-1.5711362545306796E-2</v>
      </c>
      <c r="K23">
        <f t="shared" si="8"/>
        <v>0.31523362399813071</v>
      </c>
      <c r="L23">
        <f t="shared" si="7"/>
        <v>3.7671276727300078E-2</v>
      </c>
      <c r="M23">
        <f t="shared" si="7"/>
        <v>225.64221444174015</v>
      </c>
    </row>
    <row r="24" spans="1:13" x14ac:dyDescent="0.2">
      <c r="A24">
        <v>28</v>
      </c>
      <c r="B24">
        <v>86</v>
      </c>
      <c r="C24" s="3">
        <f t="shared" si="5"/>
        <v>29.997860642614782</v>
      </c>
      <c r="D24" s="3">
        <f t="shared" si="5"/>
        <v>2.0006772416562133</v>
      </c>
      <c r="E24" s="3">
        <f t="shared" si="6"/>
        <v>86.016823408988756</v>
      </c>
      <c r="F24" s="7">
        <f t="shared" si="0"/>
        <v>3.3646817977512455E-2</v>
      </c>
      <c r="G24" s="7">
        <f t="shared" si="1"/>
        <v>0.94211090337034875</v>
      </c>
      <c r="H24" s="3">
        <f t="shared" si="3"/>
        <v>29.998082968022022</v>
      </c>
      <c r="I24" s="3">
        <f t="shared" si="3"/>
        <v>2.0005764221574505</v>
      </c>
      <c r="J24">
        <f t="shared" si="8"/>
        <v>-1.0775544493024872E-2</v>
      </c>
      <c r="K24">
        <f t="shared" si="8"/>
        <v>0.37792135193535248</v>
      </c>
      <c r="L24">
        <f t="shared" si="7"/>
        <v>3.5844318308935669E-2</v>
      </c>
      <c r="M24">
        <f t="shared" si="7"/>
        <v>214.4044823673656</v>
      </c>
    </row>
    <row r="25" spans="1:13" x14ac:dyDescent="0.2">
      <c r="A25">
        <v>20</v>
      </c>
      <c r="B25">
        <v>70</v>
      </c>
      <c r="C25" s="3">
        <f t="shared" si="5"/>
        <v>29.998082968022022</v>
      </c>
      <c r="D25" s="3">
        <f t="shared" si="5"/>
        <v>2.0005764221574505</v>
      </c>
      <c r="E25" s="3">
        <f t="shared" si="6"/>
        <v>70.009611411171036</v>
      </c>
      <c r="F25" s="7">
        <f t="shared" si="0"/>
        <v>1.9222822342072732E-2</v>
      </c>
      <c r="G25" s="7">
        <f t="shared" si="1"/>
        <v>0.38445644684145464</v>
      </c>
      <c r="H25" s="3">
        <f t="shared" si="3"/>
        <v>29.998247522693223</v>
      </c>
      <c r="I25" s="3">
        <f t="shared" si="3"/>
        <v>2.0004728065457664</v>
      </c>
      <c r="J25">
        <f t="shared" si="8"/>
        <v>-7.7757078095151127E-3</v>
      </c>
      <c r="K25">
        <f t="shared" si="8"/>
        <v>0.37857486142596269</v>
      </c>
      <c r="L25">
        <f t="shared" si="7"/>
        <v>3.4070578238428628E-2</v>
      </c>
      <c r="M25">
        <f t="shared" si="7"/>
        <v>203.6916485869732</v>
      </c>
    </row>
    <row r="26" spans="1:13" x14ac:dyDescent="0.2">
      <c r="A26">
        <v>8</v>
      </c>
      <c r="B26">
        <v>46</v>
      </c>
      <c r="C26" s="3">
        <f t="shared" si="5"/>
        <v>29.998247522693223</v>
      </c>
      <c r="D26" s="3">
        <f t="shared" si="5"/>
        <v>2.0004728065457664</v>
      </c>
      <c r="E26" s="3">
        <f t="shared" si="6"/>
        <v>46.002029975059358</v>
      </c>
      <c r="F26" s="7">
        <f t="shared" si="0"/>
        <v>4.0599501187159603E-3</v>
      </c>
      <c r="G26" s="7">
        <f t="shared" si="1"/>
        <v>3.2479600949727683E-2</v>
      </c>
      <c r="H26" s="3">
        <f t="shared" si="3"/>
        <v>29.998390652309073</v>
      </c>
      <c r="I26" s="3">
        <f t="shared" si="3"/>
        <v>2.0003762178641762</v>
      </c>
      <c r="J26">
        <f t="shared" si="8"/>
        <v>-6.5921420166920059E-3</v>
      </c>
      <c r="K26">
        <f t="shared" si="8"/>
        <v>0.34396533537833918</v>
      </c>
      <c r="L26">
        <f t="shared" si="7"/>
        <v>3.236787348625552E-2</v>
      </c>
      <c r="M26">
        <f t="shared" si="7"/>
        <v>193.50711890384844</v>
      </c>
    </row>
    <row r="27" spans="1:13" x14ac:dyDescent="0.2">
      <c r="A27">
        <v>64</v>
      </c>
      <c r="B27">
        <v>158</v>
      </c>
      <c r="C27" s="3">
        <f t="shared" si="5"/>
        <v>29.998390652309073</v>
      </c>
      <c r="D27" s="3">
        <f t="shared" si="5"/>
        <v>2.0003762178641762</v>
      </c>
      <c r="E27" s="3">
        <f t="shared" si="6"/>
        <v>158.02246859561635</v>
      </c>
      <c r="F27" s="7">
        <f t="shared" si="0"/>
        <v>4.4937191232691021E-2</v>
      </c>
      <c r="G27" s="7">
        <f t="shared" si="1"/>
        <v>2.8759802388922253</v>
      </c>
      <c r="H27" s="3">
        <f t="shared" si="3"/>
        <v>29.998422659906399</v>
      </c>
      <c r="I27" s="3">
        <f t="shared" si="3"/>
        <v>2.0002043647254926</v>
      </c>
      <c r="J27">
        <f t="shared" si="8"/>
        <v>-1.4392086917537046E-3</v>
      </c>
      <c r="K27">
        <f t="shared" si="8"/>
        <v>0.59716682572972779</v>
      </c>
      <c r="L27">
        <f t="shared" si="7"/>
        <v>3.0850447369736914E-2</v>
      </c>
      <c r="M27">
        <f t="shared" si="7"/>
        <v>184.24532607538094</v>
      </c>
    </row>
    <row r="28" spans="1:13" x14ac:dyDescent="0.2">
      <c r="A28">
        <v>99</v>
      </c>
      <c r="B28">
        <v>228</v>
      </c>
      <c r="C28" s="3">
        <f t="shared" si="5"/>
        <v>29.998422659906399</v>
      </c>
      <c r="D28" s="3">
        <f t="shared" si="5"/>
        <v>2.0002043647254926</v>
      </c>
      <c r="E28" s="3">
        <f t="shared" si="6"/>
        <v>228.01865476773017</v>
      </c>
      <c r="F28" s="7">
        <f t="shared" si="0"/>
        <v>3.7309535460337884E-2</v>
      </c>
      <c r="G28" s="7">
        <f t="shared" si="1"/>
        <v>3.6936440105734505</v>
      </c>
      <c r="H28" s="3">
        <f t="shared" si="3"/>
        <v>29.998367150048402</v>
      </c>
      <c r="I28" s="3">
        <f t="shared" si="3"/>
        <v>1.9999371417264775</v>
      </c>
      <c r="J28">
        <f t="shared" si="8"/>
        <v>2.4356657234554536E-3</v>
      </c>
      <c r="K28">
        <f t="shared" si="8"/>
        <v>0.90681454421410002</v>
      </c>
      <c r="L28">
        <f t="shared" si="7"/>
        <v>2.937752507306338E-2</v>
      </c>
      <c r="M28">
        <f t="shared" si="7"/>
        <v>175.71521007545417</v>
      </c>
    </row>
    <row r="29" spans="1:13" x14ac:dyDescent="0.2">
      <c r="A29">
        <v>70</v>
      </c>
      <c r="B29">
        <v>170</v>
      </c>
      <c r="C29" s="3">
        <f t="shared" si="5"/>
        <v>29.998367150048402</v>
      </c>
      <c r="D29" s="3">
        <f t="shared" si="5"/>
        <v>1.9999371417264775</v>
      </c>
      <c r="E29" s="3">
        <f t="shared" si="6"/>
        <v>169.99396707090185</v>
      </c>
      <c r="F29" s="7">
        <f t="shared" si="0"/>
        <v>-1.2065858196308454E-2</v>
      </c>
      <c r="G29" s="7">
        <f t="shared" si="1"/>
        <v>-0.8446100737415918</v>
      </c>
      <c r="H29" s="3">
        <f t="shared" si="3"/>
        <v>29.998344109304171</v>
      </c>
      <c r="I29" s="3">
        <f t="shared" si="3"/>
        <v>1.9997159526654782</v>
      </c>
      <c r="J29">
        <f t="shared" si="8"/>
        <v>9.8551333147906309E-4</v>
      </c>
      <c r="K29">
        <f t="shared" si="8"/>
        <v>0.73167208241853088</v>
      </c>
      <c r="L29">
        <f t="shared" si="7"/>
        <v>2.7915928066110884E-2</v>
      </c>
      <c r="M29">
        <f t="shared" si="7"/>
        <v>166.96511788051475</v>
      </c>
    </row>
    <row r="30" spans="1:13" x14ac:dyDescent="0.2">
      <c r="A30">
        <v>27</v>
      </c>
      <c r="B30">
        <v>84</v>
      </c>
      <c r="C30" s="3">
        <f t="shared" si="5"/>
        <v>29.998344109304171</v>
      </c>
      <c r="D30" s="3">
        <f t="shared" si="5"/>
        <v>1.9997159526654782</v>
      </c>
      <c r="E30" s="3">
        <f t="shared" si="6"/>
        <v>83.990674831272088</v>
      </c>
      <c r="F30" s="7">
        <f t="shared" si="0"/>
        <v>-1.8650337455824229E-2</v>
      </c>
      <c r="G30" s="7">
        <f t="shared" si="1"/>
        <v>-0.50355911130725417</v>
      </c>
      <c r="H30" s="3">
        <f t="shared" si="3"/>
        <v>29.99836756242027</v>
      </c>
      <c r="I30" s="3">
        <f t="shared" si="3"/>
        <v>1.9995273369080135</v>
      </c>
      <c r="J30">
        <f t="shared" si="8"/>
        <v>-9.780717472512657E-4</v>
      </c>
      <c r="K30">
        <f t="shared" si="8"/>
        <v>0.60814896304595245</v>
      </c>
      <c r="L30">
        <f t="shared" si="7"/>
        <v>2.6537523417166142E-2</v>
      </c>
      <c r="M30">
        <f t="shared" si="7"/>
        <v>158.62954057541802</v>
      </c>
    </row>
    <row r="31" spans="1:13" x14ac:dyDescent="0.2">
      <c r="A31">
        <v>17</v>
      </c>
      <c r="B31">
        <v>64</v>
      </c>
      <c r="C31" s="3">
        <f t="shared" si="5"/>
        <v>29.99836756242027</v>
      </c>
      <c r="D31" s="3">
        <f t="shared" si="5"/>
        <v>1.9995273369080135</v>
      </c>
      <c r="E31" s="3">
        <f t="shared" si="6"/>
        <v>63.990332289856504</v>
      </c>
      <c r="F31" s="7">
        <f t="shared" si="0"/>
        <v>-1.9335420286992644E-2</v>
      </c>
      <c r="G31" s="7">
        <f t="shared" si="1"/>
        <v>-0.32870214487887495</v>
      </c>
      <c r="H31" s="3">
        <f t="shared" si="3"/>
        <v>29.99843676166153</v>
      </c>
      <c r="I31" s="3">
        <f t="shared" si="3"/>
        <v>1.9993636351738933</v>
      </c>
      <c r="J31">
        <f t="shared" si="8"/>
        <v>-2.8138066012254031E-3</v>
      </c>
      <c r="K31">
        <f t="shared" si="8"/>
        <v>0.51446385225346969</v>
      </c>
      <c r="L31">
        <f t="shared" si="7"/>
        <v>2.5229340170191565E-2</v>
      </c>
      <c r="M31">
        <f t="shared" si="7"/>
        <v>150.70346580164951</v>
      </c>
    </row>
    <row r="32" spans="1:13" x14ac:dyDescent="0.2">
      <c r="A32">
        <v>8</v>
      </c>
      <c r="B32">
        <v>46</v>
      </c>
      <c r="C32" s="3">
        <f t="shared" si="5"/>
        <v>29.99843676166153</v>
      </c>
      <c r="D32" s="3">
        <f t="shared" si="5"/>
        <v>1.9993636351738933</v>
      </c>
      <c r="E32" s="3">
        <f t="shared" si="6"/>
        <v>45.99334584305268</v>
      </c>
      <c r="F32" s="7">
        <f t="shared" si="0"/>
        <v>-1.3308313894640378E-2</v>
      </c>
      <c r="G32" s="7">
        <f t="shared" si="1"/>
        <v>-0.10646651115712302</v>
      </c>
      <c r="H32" s="3">
        <f t="shared" si="3"/>
        <v>29.998534219933632</v>
      </c>
      <c r="I32" s="3">
        <f t="shared" si="3"/>
        <v>1.9992159522331712</v>
      </c>
      <c r="J32">
        <f t="shared" si="8"/>
        <v>-3.8632573305669004E-3</v>
      </c>
      <c r="K32">
        <f t="shared" si="8"/>
        <v>0.45237081591241046</v>
      </c>
      <c r="L32">
        <f t="shared" si="7"/>
        <v>2.3976728722617899E-2</v>
      </c>
      <c r="M32">
        <f t="shared" si="7"/>
        <v>143.16885926746696</v>
      </c>
    </row>
    <row r="33" spans="1:15" x14ac:dyDescent="0.2">
      <c r="A33" s="7"/>
      <c r="B33" s="7"/>
      <c r="F33" s="7">
        <f>SQRT(SUMSQ(F4:F32))/COUNT(F4:F32)</f>
        <v>3.8686302499625166E-2</v>
      </c>
      <c r="G33" s="7">
        <f>SQRT(SUMSQ(G4:G32))/COUNT(G4:G32)</f>
        <v>2.9941290342098443</v>
      </c>
      <c r="H33" s="3"/>
      <c r="J33">
        <v>-4.8441943141925917E-2</v>
      </c>
      <c r="K33">
        <v>-4.0642025509844446</v>
      </c>
      <c r="L33" s="7">
        <v>2.527589588662521E-2</v>
      </c>
      <c r="M33" s="7">
        <v>161.89615404770484</v>
      </c>
      <c r="N33" s="3">
        <f>SQRT(L33)+SQRT(M33)</f>
        <v>12.882825901628111</v>
      </c>
      <c r="O33" s="10"/>
    </row>
    <row r="34" spans="1:15" x14ac:dyDescent="0.2">
      <c r="K34">
        <f>1/K3</f>
        <v>-0.24605072888352394</v>
      </c>
      <c r="L34">
        <f>1/L3</f>
        <v>39.56338499278089</v>
      </c>
      <c r="N34">
        <f>avg_grad2/prev_grad2</f>
        <v>1.2475765612497367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Fallback/>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Intro</vt:lpstr>
      <vt:lpstr>data</vt:lpstr>
      <vt:lpstr>basic SGD</vt:lpstr>
      <vt:lpstr>momentum</vt:lpstr>
      <vt:lpstr>adagrad</vt:lpstr>
      <vt:lpstr>rmsprop</vt:lpstr>
      <vt:lpstr>adam</vt:lpstr>
      <vt:lpstr>eve</vt:lpstr>
      <vt:lpstr>adagrad_ann</vt:lpstr>
      <vt:lpstr>adam_ann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Microsoft Office User</cp:lastModifiedBy>
  <dcterms:created xsi:type="dcterms:W3CDTF">2014-03-27T15:29:57Z</dcterms:created>
  <dcterms:modified xsi:type="dcterms:W3CDTF">2017-08-31T15:54:46Z</dcterms:modified>
</cp:coreProperties>
</file>